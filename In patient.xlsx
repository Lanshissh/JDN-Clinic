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NSI\Downloads\"/>
    </mc:Choice>
  </mc:AlternateContent>
  <xr:revisionPtr revIDLastSave="0" documentId="8_{B9917354-6301-457E-B2B5-83588683C7E4}" xr6:coauthVersionLast="47" xr6:coauthVersionMax="47" xr10:uidLastSave="{00000000-0000-0000-0000-000000000000}"/>
  <bookViews>
    <workbookView xWindow="-108" yWindow="-108" windowWidth="23256" windowHeight="12456" xr2:uid="{4C89D356-FD97-4FEA-89A0-FF5B34369AE7}"/>
  </bookViews>
  <sheets>
    <sheet name="In-Patient Rec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" i="1" l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AS1" i="1" s="1"/>
</calcChain>
</file>

<file path=xl/sharedStrings.xml><?xml version="1.0" encoding="utf-8"?>
<sst xmlns="http://schemas.openxmlformats.org/spreadsheetml/2006/main" count="755" uniqueCount="309">
  <si>
    <t>IN-PATIENT RECORD</t>
  </si>
  <si>
    <t>DATE</t>
  </si>
  <si>
    <t>TIME</t>
  </si>
  <si>
    <t>NAME</t>
  </si>
  <si>
    <t>AGE</t>
  </si>
  <si>
    <t>DEPARTMENT</t>
  </si>
  <si>
    <t xml:space="preserve"> CHIEF COMPLAINT</t>
  </si>
  <si>
    <r>
      <rPr>
        <b/>
        <sz val="8"/>
        <color theme="1"/>
        <rFont val="Aptos Narrow"/>
        <family val="2"/>
        <scheme val="minor"/>
      </rPr>
      <t xml:space="preserve">Abdel Pain </t>
    </r>
    <r>
      <rPr>
        <b/>
        <sz val="10"/>
        <color theme="1"/>
        <rFont val="Aptos Narrow"/>
        <family val="2"/>
        <scheme val="minor"/>
      </rPr>
      <t>Acid</t>
    </r>
  </si>
  <si>
    <t>Abd'l Pain Spasm</t>
  </si>
  <si>
    <r>
      <rPr>
        <b/>
        <sz val="8"/>
        <color theme="1"/>
        <rFont val="Aptos Narrow"/>
        <family val="2"/>
        <scheme val="minor"/>
      </rPr>
      <t xml:space="preserve">Abd'l Pain </t>
    </r>
    <r>
      <rPr>
        <b/>
        <sz val="10"/>
        <color theme="1"/>
        <rFont val="Aptos Narrow"/>
        <family val="2"/>
        <scheme val="minor"/>
      </rPr>
      <t>Hypogastric, RUQ</t>
    </r>
  </si>
  <si>
    <r>
      <rPr>
        <b/>
        <sz val="8"/>
        <color theme="1"/>
        <rFont val="Aptos Narrow"/>
        <family val="2"/>
        <scheme val="minor"/>
      </rPr>
      <t xml:space="preserve">Ab'l Pain </t>
    </r>
    <r>
      <rPr>
        <b/>
        <sz val="10"/>
        <color theme="1"/>
        <rFont val="Aptos Narrow"/>
        <family val="2"/>
        <scheme val="minor"/>
      </rPr>
      <t>LBM/Constipation</t>
    </r>
  </si>
  <si>
    <t>Allergy</t>
  </si>
  <si>
    <t>Animal Bite/Scratch/Insect</t>
  </si>
  <si>
    <t>Cough</t>
  </si>
  <si>
    <t>Body Malaise</t>
  </si>
  <si>
    <t>Colds</t>
  </si>
  <si>
    <t>Costochondritis</t>
  </si>
  <si>
    <t>Cough &amp; Colds</t>
  </si>
  <si>
    <t>Cough, Colds, Fever</t>
  </si>
  <si>
    <t>Dizziness</t>
  </si>
  <si>
    <t>DOB</t>
  </si>
  <si>
    <t>Menstrual Cramps</t>
  </si>
  <si>
    <t>Dysuria</t>
  </si>
  <si>
    <t>Epistaxis</t>
  </si>
  <si>
    <t>Fainting</t>
  </si>
  <si>
    <t>Eyes, Conjunctivitis, Irritation</t>
  </si>
  <si>
    <t>Ear Pain/Irritation</t>
  </si>
  <si>
    <t>Fever</t>
  </si>
  <si>
    <t>Foot and Mouth
Symptoms</t>
  </si>
  <si>
    <t>Muscle and Joint pain, Flu</t>
  </si>
  <si>
    <t>Headache</t>
  </si>
  <si>
    <t>Hyperventilation</t>
  </si>
  <si>
    <t>Hypertension</t>
  </si>
  <si>
    <t>Muscle pain</t>
  </si>
  <si>
    <t>Nausea</t>
  </si>
  <si>
    <t>Others</t>
  </si>
  <si>
    <t>Period Stain</t>
  </si>
  <si>
    <t>Sore Throat / Tonsils</t>
  </si>
  <si>
    <t>Sprain / Strain</t>
  </si>
  <si>
    <t>Stiff Neck</t>
  </si>
  <si>
    <t>Toothache</t>
  </si>
  <si>
    <t>Viral/Communicable</t>
  </si>
  <si>
    <t>Vomiting</t>
  </si>
  <si>
    <t>Wound / Accidents</t>
  </si>
  <si>
    <t>TEMP</t>
  </si>
  <si>
    <t>BP</t>
  </si>
  <si>
    <t>PR</t>
  </si>
  <si>
    <t>RR</t>
  </si>
  <si>
    <t>O2</t>
  </si>
  <si>
    <t>INTERVENTION</t>
  </si>
  <si>
    <t>Medication</t>
  </si>
  <si>
    <t>EVALUATION</t>
  </si>
  <si>
    <t>Jossel Ocampo</t>
  </si>
  <si>
    <t>Leasing Officer</t>
  </si>
  <si>
    <t>Medicine request</t>
  </si>
  <si>
    <t>Biogesic 2 tabs, face mask 2 pcs</t>
  </si>
  <si>
    <t>Went back to work.</t>
  </si>
  <si>
    <t>Cherry Pi De Mesa</t>
  </si>
  <si>
    <t>JDNSI</t>
  </si>
  <si>
    <t>Hyperacidity</t>
  </si>
  <si>
    <t>Gaviscon 2 sachets</t>
  </si>
  <si>
    <t>Joanna Ruth Famador</t>
  </si>
  <si>
    <t>Accounting - Associate - Tax Filing</t>
  </si>
  <si>
    <t>Flu</t>
  </si>
  <si>
    <t>Teleconsult with Dr. Nepomuceno</t>
  </si>
  <si>
    <t>Azithromycin + Flumucil</t>
  </si>
  <si>
    <t>Sick Leave</t>
  </si>
  <si>
    <t>Facemask 4 pcs</t>
  </si>
  <si>
    <t>None</t>
  </si>
  <si>
    <t>Allan Cruz</t>
  </si>
  <si>
    <t>JDN Electromechanical Associate</t>
  </si>
  <si>
    <t>Wound cleaning and dressing</t>
  </si>
  <si>
    <t>Mupirocin</t>
  </si>
  <si>
    <t>Levi del Rosario</t>
  </si>
  <si>
    <t>Mechanical Supervisor</t>
  </si>
  <si>
    <t>Biogesic 2 tabs</t>
  </si>
  <si>
    <t>Morris Albert Dimatulac</t>
  </si>
  <si>
    <t>HR Associate - Payroll</t>
  </si>
  <si>
    <t>Roldan Galang</t>
  </si>
  <si>
    <t>CCS, Nepocenter</t>
  </si>
  <si>
    <t>St. John Romero</t>
  </si>
  <si>
    <t>Retail Unit Nepomall</t>
  </si>
  <si>
    <t>Neozep 4 tabs</t>
  </si>
  <si>
    <t>Maida Ocampo</t>
  </si>
  <si>
    <t>Accounts Payable Officer</t>
  </si>
  <si>
    <t>Aimee Fernando</t>
  </si>
  <si>
    <t>Marketing Associate - Corporate Branding</t>
  </si>
  <si>
    <t>Right finger injury secondary to playing basketball</t>
  </si>
  <si>
    <t>Assisted at Sacred Heart Medical Center</t>
  </si>
  <si>
    <t>Xray done, t/c fracture</t>
  </si>
  <si>
    <t>Joemar Jaybee Vizcarra</t>
  </si>
  <si>
    <t>Ysabella Yumul</t>
  </si>
  <si>
    <t>LBM</t>
  </si>
  <si>
    <t>Loperamide 2 caps</t>
  </si>
  <si>
    <t>Princess Cyrill P. Palo</t>
  </si>
  <si>
    <t>HAU-HR OJT</t>
  </si>
  <si>
    <t>Mefenamic Acid 2 caps</t>
  </si>
  <si>
    <t>Romy Valdez</t>
  </si>
  <si>
    <t xml:space="preserve">JDNHO SG on duty </t>
  </si>
  <si>
    <t>Mefenamic Acid 4 caps</t>
  </si>
  <si>
    <t>Neozep 2 tabs</t>
  </si>
  <si>
    <t>John Mark O. Dalusung</t>
  </si>
  <si>
    <t>All Around Janitor</t>
  </si>
  <si>
    <t>Muscle pain, right leg</t>
  </si>
  <si>
    <t>Bandaging done with katinko spray</t>
  </si>
  <si>
    <t>bandage</t>
  </si>
  <si>
    <t>Syela Nuqui</t>
  </si>
  <si>
    <t>EHS</t>
  </si>
  <si>
    <t>Knee pain</t>
  </si>
  <si>
    <t>Neozep 2 tabs non drows
1 tab drowse</t>
  </si>
  <si>
    <t>Neerah Garcia</t>
  </si>
  <si>
    <t>HR Associate</t>
  </si>
  <si>
    <t>HAU OJT</t>
  </si>
  <si>
    <t>Colds 2 days</t>
  </si>
  <si>
    <t>Neozep 3 tabs</t>
  </si>
  <si>
    <t>Abigail Anne Lumanlan</t>
  </si>
  <si>
    <t>HR-Officer, Compensation and Benefits</t>
  </si>
  <si>
    <t>Administrative Associate</t>
  </si>
  <si>
    <t>Allein Mariano</t>
  </si>
  <si>
    <t>Facilities Associate - Electro Mechanical</t>
  </si>
  <si>
    <t>Biogesic 3 tabs</t>
  </si>
  <si>
    <t>Jamila Cuenco</t>
  </si>
  <si>
    <t>Office Spaces Supervisor</t>
  </si>
  <si>
    <t>First Aid Kit and Meds OB</t>
  </si>
  <si>
    <t>FAK and meds</t>
  </si>
  <si>
    <t>OB Trip</t>
  </si>
  <si>
    <t>Neil Dayrit</t>
  </si>
  <si>
    <t>JDNE2BPO-DIRECT-S.S.-FACIL</t>
  </si>
  <si>
    <t>Face Mask</t>
  </si>
  <si>
    <t>3 pax, construction PPE</t>
  </si>
  <si>
    <t>Facemask</t>
  </si>
  <si>
    <t>Romina Candelario</t>
  </si>
  <si>
    <t>Finance Associate - Treasury</t>
  </si>
  <si>
    <t>Tuseran 4 caps</t>
  </si>
  <si>
    <t>Gaviscon sachet 2</t>
  </si>
  <si>
    <t>Ralph Velasquez</t>
  </si>
  <si>
    <t>Nepo Mart FAK</t>
  </si>
  <si>
    <t>Medicine Supplies</t>
  </si>
  <si>
    <t>FAK Medicine request</t>
  </si>
  <si>
    <t>Tuseran 6 caps
Loratadine 10 tabs
Cetirizine 10 tabs
Gaviscon 2 sachets
Bioflu 6 tabs
Clonidine 10 tabs
Meclizine 10 tabs
Kremil S 10 tabs
Loepramide 10 caps
Neozep 6 tabs
Hyoscine 10 tabs
Biogesic 6 tabs
Mefenamic 6 caps</t>
  </si>
  <si>
    <t>For Company Outing advance party FAK</t>
  </si>
  <si>
    <t>Right eye irritation - redness</t>
  </si>
  <si>
    <t>120/80</t>
  </si>
  <si>
    <t>NSS flushing, cold compress</t>
  </si>
  <si>
    <t>Gauze and eye patch</t>
  </si>
  <si>
    <t>Maribbel Ronquillo</t>
  </si>
  <si>
    <t>Office Spaces Manager/Office B.U. Gen. Mgr.</t>
  </si>
  <si>
    <t>Medicine request c/o Wayne Gutierrez</t>
  </si>
  <si>
    <t>Menstrual cramps</t>
  </si>
  <si>
    <t>Mefenamic Acid</t>
  </si>
  <si>
    <t>Gaviscon 1 sachet</t>
  </si>
  <si>
    <t>Gaviscon 1 sachet
Kremil S 2 tabs</t>
  </si>
  <si>
    <t>Eduardo Cosme</t>
  </si>
  <si>
    <t>Facilities Officer - Carpentry</t>
  </si>
  <si>
    <t>Rat bite on right foot</t>
  </si>
  <si>
    <t>Hydrogen peroxide, betadine, mupirocin, cotton balls, cotton tip applicator, band aid</t>
  </si>
  <si>
    <t>JDNHO Safety</t>
  </si>
  <si>
    <t>Request for 3 cc syringe</t>
  </si>
  <si>
    <t>1 pc 3 cc syring request</t>
  </si>
  <si>
    <t>Aaron Montenegro</t>
  </si>
  <si>
    <t>President and CEO</t>
  </si>
  <si>
    <t>Kremil S 4 tabs</t>
  </si>
  <si>
    <t>Lilah Martinez</t>
  </si>
  <si>
    <t>Accounting Senior Supervisor - Corporate Office &amp; Shared Services</t>
  </si>
  <si>
    <t>Abdominal pain</t>
  </si>
  <si>
    <t>Buscopan 2 tabs q 6 hours</t>
  </si>
  <si>
    <t>Eduardo John Balatbat</t>
  </si>
  <si>
    <t>HR &amp; Admin Senior Manager</t>
  </si>
  <si>
    <t>Headacdhe</t>
  </si>
  <si>
    <t>Fall, pain on knee</t>
  </si>
  <si>
    <t>Ice bag. And med request</t>
  </si>
  <si>
    <t>Ice bag, mefenamic 2 caps</t>
  </si>
  <si>
    <t>Muscle pain, left shoulder</t>
  </si>
  <si>
    <t>Biogesic 4 tabs</t>
  </si>
  <si>
    <t>Right inner arm burn caused by welding sparks</t>
  </si>
  <si>
    <t>Betadine, Oxygen Peroxide, Burn cream, cotton balls</t>
  </si>
  <si>
    <t>Jay Cordero</t>
  </si>
  <si>
    <t>Procurement</t>
  </si>
  <si>
    <t>Rechargeabl battery confirmation, gave thermoscanner</t>
  </si>
  <si>
    <t>Thermoscan endorsed to Jay Cordero</t>
  </si>
  <si>
    <t>n/a</t>
  </si>
  <si>
    <t>Biogesic 6 tabs</t>
  </si>
  <si>
    <t>Ardel Gerero</t>
  </si>
  <si>
    <t>Procurement and Fixed Asset Manager</t>
  </si>
  <si>
    <t>Neozep Non Drowse 4 tabs
Nezoep Forte 2 tabs</t>
  </si>
  <si>
    <t>Marilou Castro</t>
  </si>
  <si>
    <t>JDN Corporate Accounting Supervisor</t>
  </si>
  <si>
    <t>Hypogatsric pain, vomiting 2x, dizziness</t>
  </si>
  <si>
    <t>122/82</t>
  </si>
  <si>
    <t>Warm compress, efficascent oil</t>
  </si>
  <si>
    <t>Buscopan</t>
  </si>
  <si>
    <t>Clinic rest and observation.</t>
  </si>
  <si>
    <t>Ruel Velasquez</t>
  </si>
  <si>
    <t>IT Supervisor</t>
  </si>
  <si>
    <t>Wrist pain - no trauma</t>
  </si>
  <si>
    <t>Mefenamic Acis 2 caps</t>
  </si>
  <si>
    <t>Raquel Pangilinan</t>
  </si>
  <si>
    <t>Controller</t>
  </si>
  <si>
    <t>Wayne Santos</t>
  </si>
  <si>
    <t>CCS HO</t>
  </si>
  <si>
    <t>Throat irritation</t>
  </si>
  <si>
    <t>Mark Stephen Vega</t>
  </si>
  <si>
    <t>HR Associate - ADMIN SUPP</t>
  </si>
  <si>
    <t>Dysmenorrhea</t>
  </si>
  <si>
    <t>Buscopan 4 tabs</t>
  </si>
  <si>
    <t>Dizziness, vomiting-1</t>
  </si>
  <si>
    <t>125/75</t>
  </si>
  <si>
    <t>Went to AMC for further testing</t>
  </si>
  <si>
    <t>White flower application</t>
  </si>
  <si>
    <t>Check-up</t>
  </si>
  <si>
    <t>Mahayana Gerolangin</t>
  </si>
  <si>
    <t>HR Supervisor</t>
  </si>
  <si>
    <t>Cetirizine 4 tabs</t>
  </si>
  <si>
    <t>Bandaging request</t>
  </si>
  <si>
    <t>Bandage 1 pc</t>
  </si>
  <si>
    <t>Eye pain, allergy</t>
  </si>
  <si>
    <t>Loratadine, 2 tabs</t>
  </si>
  <si>
    <t>Syringe 1ml request for dog</t>
  </si>
  <si>
    <t>Personal use</t>
  </si>
  <si>
    <t>Syring 1 ml</t>
  </si>
  <si>
    <t>James Balboa</t>
  </si>
  <si>
    <t>Facilities Manager</t>
  </si>
  <si>
    <t>Irish Lansangan</t>
  </si>
  <si>
    <t>Office Spaces Associate</t>
  </si>
  <si>
    <t>Robin Dulay</t>
  </si>
  <si>
    <t>CCS</t>
  </si>
  <si>
    <t>Neozep 2 tabs
Tuseran 2 caps</t>
  </si>
  <si>
    <t>Dipenhydramine IM</t>
  </si>
  <si>
    <t>Precy Aurelio</t>
  </si>
  <si>
    <t>TWI HR Manager</t>
  </si>
  <si>
    <t>Asthma</t>
  </si>
  <si>
    <t>Salbutamol Nebulization</t>
  </si>
  <si>
    <t>Fit to work clearance</t>
  </si>
  <si>
    <t>fit to return to work clearance for James Balboa's signature and HR</t>
  </si>
  <si>
    <t>Reyes, May</t>
  </si>
  <si>
    <t>TWI Cashier</t>
  </si>
  <si>
    <t>Nausea and vomiting</t>
  </si>
  <si>
    <t>Clinic rest.</t>
  </si>
  <si>
    <t>Efficascent Oil</t>
  </si>
  <si>
    <t>Sent home</t>
  </si>
  <si>
    <t>Cough and colds</t>
  </si>
  <si>
    <t>Tuseran 3 caps</t>
  </si>
  <si>
    <t>Abdominal pain after eating</t>
  </si>
  <si>
    <t>Borrowed FAK</t>
  </si>
  <si>
    <t>Borrowed FAK for vehicle</t>
  </si>
  <si>
    <t>Firs Aid Kit</t>
  </si>
  <si>
    <t>Billy Ray Patawaran</t>
  </si>
  <si>
    <t>Accounting Officer - Collections</t>
  </si>
  <si>
    <t>Ronald Punsalan</t>
  </si>
  <si>
    <t>Hives</t>
  </si>
  <si>
    <t>Calamine sachet, loratadine 2 tabs</t>
  </si>
  <si>
    <t>Arni Louie Roque</t>
  </si>
  <si>
    <t>DJARNA</t>
  </si>
  <si>
    <t>GUINTO, TERESA MARI DAYRIT</t>
  </si>
  <si>
    <t>Marketing Associate</t>
  </si>
  <si>
    <t>Loaratadine 4 tabs, paracetamol 2 tabs</t>
  </si>
  <si>
    <t>Paracetamol 2 tabs</t>
  </si>
  <si>
    <t>Hannah Marriah Tapang</t>
  </si>
  <si>
    <t>CCA</t>
  </si>
  <si>
    <t>Buscopan 2 tabs</t>
  </si>
  <si>
    <t>John Carlo Limson</t>
  </si>
  <si>
    <t>HAU - OJT</t>
  </si>
  <si>
    <t>Strain, L foot</t>
  </si>
  <si>
    <t>Bandaging and medication</t>
  </si>
  <si>
    <t>Mefenamic Acid 2 tabs every 6 hours with full stomach
Tetanus Toxoid aug 8, 2025</t>
  </si>
  <si>
    <t>Fever, colds</t>
  </si>
  <si>
    <t>Wilson Masbang</t>
  </si>
  <si>
    <t>Asset Management Associate</t>
  </si>
  <si>
    <t>Nape pain, headache</t>
  </si>
  <si>
    <t>130/90</t>
  </si>
  <si>
    <t>Medication given</t>
  </si>
  <si>
    <t>Lovendino Jose</t>
  </si>
  <si>
    <t>Driver</t>
  </si>
  <si>
    <t>Sore throat, cough</t>
  </si>
  <si>
    <t>Tuseran 3 tabs</t>
  </si>
  <si>
    <t>Right arm swollen</t>
  </si>
  <si>
    <t>Bandaging done. Meds advised</t>
  </si>
  <si>
    <t>Marilyn Dayrit</t>
  </si>
  <si>
    <t>Safe and Secure</t>
  </si>
  <si>
    <t>FAK meds</t>
  </si>
  <si>
    <t>FAK med supplication</t>
  </si>
  <si>
    <t>Biogesic - 20 tabs
Kremil S- 10 tabs
Hyoscine - 10 tabs
Loperamide - 10 caps
Neozep - 10 tabs</t>
  </si>
  <si>
    <t>Received by Yvett Clapano.  Went back to work.</t>
  </si>
  <si>
    <t>Paracetamol 3 tabs</t>
  </si>
  <si>
    <t>OCAMPO, ALLEN M.</t>
  </si>
  <si>
    <t>Vehicular accident - right leg and right arm abrasions</t>
  </si>
  <si>
    <t>Gauze, hydrogen peroxide, betadine, tape, antibacterial ointment</t>
  </si>
  <si>
    <t>NICDAO, ENRIQUE LIWANAG</t>
  </si>
  <si>
    <t>Procurement Officer</t>
  </si>
  <si>
    <t>Dizziness due to menstruation</t>
  </si>
  <si>
    <t>Bonamine 4 tabs</t>
  </si>
  <si>
    <t>Bandage 4"X5yards to replemish FAK, Mefenamic Acid 2 tabs given</t>
  </si>
  <si>
    <t>Rene Delfin</t>
  </si>
  <si>
    <t>CCS Gardener</t>
  </si>
  <si>
    <t>Right hand caught between kiosk and gondola</t>
  </si>
  <si>
    <t>Assessment and dressing, cold compress</t>
  </si>
  <si>
    <t>Elastic bandage 2"
1-emergency ice pack 
Katinko spray
gauze, hydrogen peroxide, betadine, cotton balls, cohesive bandage</t>
  </si>
  <si>
    <t xml:space="preserve">PAMINTUAN, JOY DAVID </t>
  </si>
  <si>
    <t>Mall Leasing &amp; Administration Officer</t>
  </si>
  <si>
    <t>Emmanuel Lavarias</t>
  </si>
  <si>
    <t>Property Estate Management</t>
  </si>
  <si>
    <t>DAYRIT, MA. INAH</t>
  </si>
  <si>
    <t>Marketing Officer-Public Relation Communication and Corporate Branding</t>
  </si>
  <si>
    <t>137/83</t>
  </si>
  <si>
    <t>Bonamine 3 tabs</t>
  </si>
  <si>
    <t>Dyspepsia</t>
  </si>
  <si>
    <t>Kremil S 2 tabs</t>
  </si>
  <si>
    <t>Calvin Pabustan</t>
  </si>
  <si>
    <t>OJT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</si>
</sst>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;@"/>
    <numFmt numFmtId="166" formatCode="[$-3409]mmmm\ dd\,\ yyyy;@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color theme="1"/>
      <name val="Arial Black"/>
      <family val="2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color theme="1"/>
      <name val="Calibri"/>
      <family val="2"/>
    </font>
    <font>
      <sz val="10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left" vertical="top" textRotation="75" wrapText="1"/>
      <protection locked="0"/>
    </xf>
    <xf numFmtId="0" fontId="5" fillId="0" borderId="4" xfId="0" applyFont="1" applyBorder="1" applyAlignment="1" applyProtection="1">
      <alignment horizontal="left" vertical="top" textRotation="75" wrapText="1"/>
      <protection locked="0"/>
    </xf>
    <xf numFmtId="0" fontId="2" fillId="0" borderId="4" xfId="0" applyFont="1" applyBorder="1" applyAlignment="1" applyProtection="1">
      <alignment horizontal="left" vertical="top" textRotation="75" wrapText="1"/>
      <protection locked="0"/>
    </xf>
    <xf numFmtId="0" fontId="2" fillId="2" borderId="4" xfId="0" applyFont="1" applyFill="1" applyBorder="1" applyAlignment="1" applyProtection="1">
      <alignment horizontal="left" vertical="top" textRotation="75"/>
      <protection locked="0"/>
    </xf>
    <xf numFmtId="0" fontId="2" fillId="0" borderId="4" xfId="0" applyFont="1" applyBorder="1" applyAlignment="1" applyProtection="1">
      <alignment horizontal="left" vertical="top" textRotation="75"/>
      <protection locked="0"/>
    </xf>
    <xf numFmtId="0" fontId="2" fillId="2" borderId="4" xfId="0" applyFont="1" applyFill="1" applyBorder="1" applyAlignment="1" applyProtection="1">
      <alignment horizontal="center" vertical="top" textRotation="75" wrapText="1"/>
      <protection locked="0"/>
    </xf>
    <xf numFmtId="0" fontId="2" fillId="0" borderId="4" xfId="0" applyFont="1" applyBorder="1" applyAlignment="1" applyProtection="1">
      <alignment horizontal="center" vertical="top" textRotation="75" wrapText="1"/>
      <protection locked="0"/>
    </xf>
    <xf numFmtId="0" fontId="2" fillId="5" borderId="4" xfId="0" applyFont="1" applyFill="1" applyBorder="1" applyAlignment="1" applyProtection="1">
      <alignment horizontal="left" vertical="top" textRotation="75"/>
      <protection locked="0"/>
    </xf>
    <xf numFmtId="0" fontId="2" fillId="3" borderId="4" xfId="0" applyFont="1" applyFill="1" applyBorder="1" applyAlignment="1" applyProtection="1">
      <alignment horizontal="left" vertical="top" textRotation="75"/>
      <protection locked="0"/>
    </xf>
    <xf numFmtId="0" fontId="4" fillId="6" borderId="4" xfId="0" applyFont="1" applyFill="1" applyBorder="1" applyAlignment="1" applyProtection="1">
      <alignment horizontal="center" vertical="center" textRotation="75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6" fontId="6" fillId="0" borderId="0" xfId="0" applyNumberFormat="1" applyFont="1" applyAlignment="1">
      <alignment horizontal="left" vertical="center"/>
    </xf>
    <xf numFmtId="18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459F-9A75-4E15-A966-979F637A6C1C}">
  <dimension ref="A1:AZ120"/>
  <sheetViews>
    <sheetView tabSelected="1" workbookViewId="0"/>
  </sheetViews>
  <sheetFormatPr defaultColWidth="9.109375" defaultRowHeight="13.8" x14ac:dyDescent="0.3"/>
  <cols>
    <col min="1" max="1" width="18.88671875" style="41" bestFit="1" customWidth="1"/>
    <col min="2" max="2" width="10.5546875" style="27" customWidth="1"/>
    <col min="3" max="3" width="27" style="25" customWidth="1"/>
    <col min="4" max="4" width="5.6640625" style="26" customWidth="1"/>
    <col min="5" max="5" width="33.33203125" style="27" bestFit="1" customWidth="1"/>
    <col min="6" max="6" width="25.6640625" style="25" customWidth="1"/>
    <col min="7" max="7" width="4.33203125" style="31" customWidth="1"/>
    <col min="8" max="8" width="4.33203125" style="32" customWidth="1"/>
    <col min="9" max="9" width="5.6640625" style="31" customWidth="1"/>
    <col min="10" max="10" width="4.33203125" style="32" customWidth="1"/>
    <col min="11" max="11" width="4.33203125" style="31" customWidth="1"/>
    <col min="12" max="12" width="4.33203125" style="32" customWidth="1"/>
    <col min="13" max="13" width="4.33203125" style="31" customWidth="1"/>
    <col min="14" max="14" width="4.33203125" style="32" customWidth="1"/>
    <col min="15" max="15" width="4.33203125" style="31" customWidth="1"/>
    <col min="16" max="16" width="4.33203125" style="32" customWidth="1"/>
    <col min="17" max="17" width="4.33203125" style="31" customWidth="1"/>
    <col min="18" max="18" width="4.33203125" style="32" customWidth="1"/>
    <col min="19" max="19" width="4.33203125" style="31" customWidth="1"/>
    <col min="20" max="20" width="4.33203125" style="32" customWidth="1"/>
    <col min="21" max="21" width="4.33203125" style="31" customWidth="1"/>
    <col min="22" max="22" width="4.33203125" style="32" customWidth="1"/>
    <col min="23" max="23" width="4.33203125" style="31" customWidth="1"/>
    <col min="24" max="24" width="4.33203125" style="32" customWidth="1"/>
    <col min="25" max="25" width="5.6640625" style="31" customWidth="1"/>
    <col min="26" max="26" width="5.6640625" style="32" customWidth="1"/>
    <col min="27" max="27" width="4.33203125" style="33" customWidth="1"/>
    <col min="28" max="28" width="6" style="32" customWidth="1"/>
    <col min="29" max="29" width="4.33203125" style="33" customWidth="1"/>
    <col min="30" max="30" width="4.33203125" style="32" customWidth="1"/>
    <col min="31" max="31" width="4.33203125" style="33" customWidth="1"/>
    <col min="32" max="32" width="4.33203125" style="32" customWidth="1"/>
    <col min="33" max="33" width="4.33203125" style="31" customWidth="1"/>
    <col min="34" max="34" width="4.33203125" style="32" customWidth="1"/>
    <col min="35" max="35" width="4.33203125" style="31" customWidth="1"/>
    <col min="36" max="36" width="4.33203125" style="32" customWidth="1"/>
    <col min="37" max="37" width="4.33203125" style="34" customWidth="1"/>
    <col min="38" max="38" width="4.33203125" style="32" customWidth="1"/>
    <col min="39" max="39" width="4.33203125" style="34" customWidth="1"/>
    <col min="40" max="40" width="4.33203125" style="32" customWidth="1"/>
    <col min="41" max="41" width="4.33203125" style="34" customWidth="1"/>
    <col min="42" max="42" width="4.33203125" style="32" customWidth="1"/>
    <col min="43" max="43" width="4.33203125" style="34" customWidth="1"/>
    <col min="44" max="44" width="6.109375" style="32" customWidth="1"/>
    <col min="45" max="45" width="7" style="26" customWidth="1"/>
    <col min="46" max="46" width="7.6640625" style="26" customWidth="1"/>
    <col min="47" max="47" width="5.88671875" style="26" customWidth="1"/>
    <col min="48" max="49" width="5.44140625" style="26" customWidth="1"/>
    <col min="50" max="50" width="25.6640625" style="25" customWidth="1"/>
    <col min="51" max="51" width="20.88671875" style="25" customWidth="1"/>
    <col min="52" max="52" width="24.6640625" style="25" customWidth="1"/>
    <col min="53" max="16384" width="9.109375" style="30"/>
  </cols>
  <sheetData>
    <row r="1" spans="1:52" s="9" customFormat="1" ht="14.4" thickBot="1" x14ac:dyDescent="0.35">
      <c r="A1" s="1"/>
      <c r="B1" s="2"/>
      <c r="C1" s="3"/>
      <c r="D1" s="4"/>
      <c r="E1" s="2"/>
      <c r="F1" s="3"/>
      <c r="G1" s="5">
        <f t="shared" ref="G1:AR1" si="0">SUM(G4:G1048576)</f>
        <v>11</v>
      </c>
      <c r="H1" s="5">
        <f t="shared" si="0"/>
        <v>2</v>
      </c>
      <c r="I1" s="5">
        <f t="shared" si="0"/>
        <v>0</v>
      </c>
      <c r="J1" s="5">
        <f t="shared" si="0"/>
        <v>2</v>
      </c>
      <c r="K1" s="5">
        <f t="shared" si="0"/>
        <v>8</v>
      </c>
      <c r="L1" s="5">
        <f t="shared" si="0"/>
        <v>0</v>
      </c>
      <c r="M1" s="5">
        <f t="shared" si="0"/>
        <v>3</v>
      </c>
      <c r="N1" s="5">
        <f t="shared" si="0"/>
        <v>0</v>
      </c>
      <c r="O1" s="5">
        <f t="shared" si="0"/>
        <v>19</v>
      </c>
      <c r="P1" s="5">
        <f t="shared" si="0"/>
        <v>0</v>
      </c>
      <c r="Q1" s="5">
        <f t="shared" si="0"/>
        <v>2</v>
      </c>
      <c r="R1" s="5">
        <f t="shared" si="0"/>
        <v>3</v>
      </c>
      <c r="S1" s="5">
        <f t="shared" si="0"/>
        <v>3</v>
      </c>
      <c r="T1" s="5">
        <f t="shared" si="0"/>
        <v>0</v>
      </c>
      <c r="U1" s="5">
        <f t="shared" si="0"/>
        <v>3</v>
      </c>
      <c r="V1" s="5">
        <f t="shared" si="0"/>
        <v>0</v>
      </c>
      <c r="W1" s="5">
        <f t="shared" si="0"/>
        <v>0</v>
      </c>
      <c r="X1" s="5">
        <f t="shared" si="0"/>
        <v>0</v>
      </c>
      <c r="Y1" s="5">
        <f t="shared" si="0"/>
        <v>0</v>
      </c>
      <c r="Z1" s="5">
        <f t="shared" si="0"/>
        <v>0</v>
      </c>
      <c r="AA1" s="5">
        <f t="shared" si="0"/>
        <v>0</v>
      </c>
      <c r="AB1" s="5">
        <f t="shared" si="0"/>
        <v>0</v>
      </c>
      <c r="AC1" s="5">
        <f t="shared" si="0"/>
        <v>4</v>
      </c>
      <c r="AD1" s="5">
        <f t="shared" si="0"/>
        <v>24</v>
      </c>
      <c r="AE1" s="5">
        <f t="shared" si="0"/>
        <v>0</v>
      </c>
      <c r="AF1" s="5">
        <f t="shared" si="0"/>
        <v>0</v>
      </c>
      <c r="AG1" s="5">
        <f t="shared" si="0"/>
        <v>4</v>
      </c>
      <c r="AH1" s="5">
        <f t="shared" si="0"/>
        <v>0</v>
      </c>
      <c r="AI1" s="5">
        <f t="shared" si="0"/>
        <v>14</v>
      </c>
      <c r="AJ1" s="6">
        <f t="shared" si="0"/>
        <v>0</v>
      </c>
      <c r="AK1" s="7">
        <f t="shared" si="0"/>
        <v>1</v>
      </c>
      <c r="AL1" s="6">
        <f t="shared" si="0"/>
        <v>0</v>
      </c>
      <c r="AM1" s="7">
        <f t="shared" si="0"/>
        <v>0</v>
      </c>
      <c r="AN1" s="6">
        <f t="shared" si="0"/>
        <v>2</v>
      </c>
      <c r="AO1" s="7">
        <f t="shared" si="0"/>
        <v>0</v>
      </c>
      <c r="AP1" s="6">
        <f t="shared" si="0"/>
        <v>1</v>
      </c>
      <c r="AQ1" s="7">
        <f t="shared" si="0"/>
        <v>4</v>
      </c>
      <c r="AR1" s="5">
        <f t="shared" si="0"/>
        <v>0</v>
      </c>
      <c r="AS1" s="8">
        <f>SUM(G1:AR1)</f>
        <v>110</v>
      </c>
      <c r="AT1" s="4"/>
      <c r="AU1" s="4"/>
      <c r="AV1" s="4"/>
      <c r="AW1" s="4"/>
      <c r="AX1" s="3"/>
      <c r="AY1" s="3"/>
      <c r="AZ1" s="3"/>
    </row>
    <row r="2" spans="1:52" s="9" customFormat="1" ht="30.6" thickBot="1" x14ac:dyDescent="0.35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4"/>
    </row>
    <row r="3" spans="1:52" s="22" customFormat="1" ht="127.95" customHeight="1" x14ac:dyDescent="0.3">
      <c r="A3" s="10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3" t="s">
        <v>8</v>
      </c>
      <c r="I3" s="12" t="s">
        <v>9</v>
      </c>
      <c r="J3" s="14" t="s">
        <v>10</v>
      </c>
      <c r="K3" s="15" t="s">
        <v>11</v>
      </c>
      <c r="L3" s="16" t="s">
        <v>12</v>
      </c>
      <c r="M3" s="15" t="s">
        <v>13</v>
      </c>
      <c r="N3" s="16" t="s">
        <v>14</v>
      </c>
      <c r="O3" s="15" t="s">
        <v>15</v>
      </c>
      <c r="P3" s="16" t="s">
        <v>16</v>
      </c>
      <c r="Q3" s="15" t="s">
        <v>17</v>
      </c>
      <c r="R3" s="16" t="s">
        <v>18</v>
      </c>
      <c r="S3" s="15" t="s">
        <v>19</v>
      </c>
      <c r="T3" s="16" t="s">
        <v>20</v>
      </c>
      <c r="U3" s="15" t="s">
        <v>21</v>
      </c>
      <c r="V3" s="16" t="s">
        <v>22</v>
      </c>
      <c r="W3" s="15" t="s">
        <v>23</v>
      </c>
      <c r="X3" s="16" t="s">
        <v>24</v>
      </c>
      <c r="Y3" s="17" t="s">
        <v>25</v>
      </c>
      <c r="Z3" s="18" t="s">
        <v>26</v>
      </c>
      <c r="AA3" s="19" t="s">
        <v>27</v>
      </c>
      <c r="AB3" s="14" t="s">
        <v>28</v>
      </c>
      <c r="AC3" s="19" t="s">
        <v>29</v>
      </c>
      <c r="AD3" s="16" t="s">
        <v>30</v>
      </c>
      <c r="AE3" s="19" t="s">
        <v>31</v>
      </c>
      <c r="AF3" s="16" t="s">
        <v>32</v>
      </c>
      <c r="AG3" s="15" t="s">
        <v>33</v>
      </c>
      <c r="AH3" s="16" t="s">
        <v>34</v>
      </c>
      <c r="AI3" s="15" t="s">
        <v>35</v>
      </c>
      <c r="AJ3" s="16" t="s">
        <v>36</v>
      </c>
      <c r="AK3" s="20" t="s">
        <v>37</v>
      </c>
      <c r="AL3" s="16" t="s">
        <v>38</v>
      </c>
      <c r="AM3" s="20" t="s">
        <v>39</v>
      </c>
      <c r="AN3" s="16" t="s">
        <v>40</v>
      </c>
      <c r="AO3" s="20" t="s">
        <v>41</v>
      </c>
      <c r="AP3" s="16" t="s">
        <v>42</v>
      </c>
      <c r="AQ3" s="20" t="s">
        <v>43</v>
      </c>
      <c r="AR3" s="16"/>
      <c r="AS3" s="21" t="s">
        <v>44</v>
      </c>
      <c r="AT3" s="21" t="s">
        <v>45</v>
      </c>
      <c r="AU3" s="21" t="s">
        <v>46</v>
      </c>
      <c r="AV3" s="21" t="s">
        <v>47</v>
      </c>
      <c r="AW3" s="21" t="s">
        <v>48</v>
      </c>
      <c r="AX3" s="11" t="s">
        <v>49</v>
      </c>
      <c r="AY3" s="11" t="s">
        <v>50</v>
      </c>
      <c r="AZ3" s="11" t="s">
        <v>51</v>
      </c>
    </row>
    <row r="4" spans="1:52" s="9" customFormat="1" ht="27.6" x14ac:dyDescent="0.3">
      <c r="A4" s="23">
        <v>45665</v>
      </c>
      <c r="B4" s="24">
        <v>0.39583333333333331</v>
      </c>
      <c r="C4" s="25" t="s">
        <v>52</v>
      </c>
      <c r="D4" s="26">
        <v>27</v>
      </c>
      <c r="E4" s="27" t="s">
        <v>53</v>
      </c>
      <c r="F4" s="25" t="s">
        <v>15</v>
      </c>
      <c r="G4" s="5"/>
      <c r="H4" s="6"/>
      <c r="I4" s="5"/>
      <c r="J4" s="6"/>
      <c r="K4" s="5"/>
      <c r="L4" s="6"/>
      <c r="M4" s="5"/>
      <c r="N4" s="6"/>
      <c r="O4" s="5">
        <v>1</v>
      </c>
      <c r="P4" s="6"/>
      <c r="Q4" s="5"/>
      <c r="R4" s="6"/>
      <c r="S4" s="5"/>
      <c r="T4" s="6"/>
      <c r="U4" s="5"/>
      <c r="V4" s="6"/>
      <c r="W4" s="5"/>
      <c r="X4" s="6"/>
      <c r="Y4" s="5"/>
      <c r="Z4" s="6"/>
      <c r="AA4" s="28"/>
      <c r="AB4" s="6"/>
      <c r="AC4" s="28"/>
      <c r="AD4" s="6"/>
      <c r="AE4" s="28"/>
      <c r="AF4" s="6"/>
      <c r="AG4" s="5"/>
      <c r="AH4" s="6"/>
      <c r="AI4" s="5"/>
      <c r="AJ4" s="6"/>
      <c r="AK4" s="7"/>
      <c r="AL4" s="6"/>
      <c r="AM4" s="7"/>
      <c r="AN4" s="6"/>
      <c r="AO4" s="7"/>
      <c r="AP4" s="6"/>
      <c r="AQ4" s="7"/>
      <c r="AR4" s="6"/>
      <c r="AS4" s="4"/>
      <c r="AT4" s="4"/>
      <c r="AU4" s="4"/>
      <c r="AV4" s="4"/>
      <c r="AW4" s="4"/>
      <c r="AX4" s="3" t="s">
        <v>54</v>
      </c>
      <c r="AY4" s="3" t="s">
        <v>55</v>
      </c>
      <c r="AZ4" s="3" t="s">
        <v>56</v>
      </c>
    </row>
    <row r="5" spans="1:52" s="9" customFormat="1" x14ac:dyDescent="0.3">
      <c r="A5" s="23">
        <v>45665</v>
      </c>
      <c r="B5" s="24">
        <v>0.43611111111111112</v>
      </c>
      <c r="C5" s="25" t="s">
        <v>57</v>
      </c>
      <c r="D5" s="26">
        <v>30</v>
      </c>
      <c r="E5" s="27" t="s">
        <v>58</v>
      </c>
      <c r="F5" s="25" t="s">
        <v>59</v>
      </c>
      <c r="G5" s="5">
        <v>1</v>
      </c>
      <c r="H5" s="6"/>
      <c r="I5" s="5"/>
      <c r="J5" s="6"/>
      <c r="K5" s="5"/>
      <c r="L5" s="6"/>
      <c r="M5" s="5"/>
      <c r="N5" s="6"/>
      <c r="O5" s="5"/>
      <c r="P5" s="6"/>
      <c r="Q5" s="5"/>
      <c r="R5" s="6"/>
      <c r="S5" s="5"/>
      <c r="T5" s="6"/>
      <c r="U5" s="5"/>
      <c r="V5" s="6"/>
      <c r="W5" s="5"/>
      <c r="X5" s="6"/>
      <c r="Y5" s="5"/>
      <c r="Z5" s="6"/>
      <c r="AA5" s="28"/>
      <c r="AB5" s="6"/>
      <c r="AC5" s="28"/>
      <c r="AD5" s="6"/>
      <c r="AE5" s="28"/>
      <c r="AF5" s="6"/>
      <c r="AG5" s="5"/>
      <c r="AH5" s="6"/>
      <c r="AI5" s="5"/>
      <c r="AJ5" s="6"/>
      <c r="AK5" s="7"/>
      <c r="AL5" s="6"/>
      <c r="AM5" s="7"/>
      <c r="AN5" s="6"/>
      <c r="AO5" s="7"/>
      <c r="AP5" s="6"/>
      <c r="AQ5" s="7"/>
      <c r="AR5" s="6"/>
      <c r="AS5" s="4"/>
      <c r="AT5" s="4"/>
      <c r="AU5" s="4"/>
      <c r="AV5" s="4"/>
      <c r="AW5" s="4"/>
      <c r="AX5" s="3" t="s">
        <v>54</v>
      </c>
      <c r="AY5" s="3" t="s">
        <v>60</v>
      </c>
      <c r="AZ5" s="3" t="s">
        <v>56</v>
      </c>
    </row>
    <row r="6" spans="1:52" s="9" customFormat="1" ht="27.6" x14ac:dyDescent="0.3">
      <c r="A6" s="23">
        <v>45673</v>
      </c>
      <c r="B6" s="24">
        <v>0.35416666666666669</v>
      </c>
      <c r="C6" s="25" t="s">
        <v>61</v>
      </c>
      <c r="D6" s="26">
        <v>31</v>
      </c>
      <c r="E6" s="29" t="s">
        <v>62</v>
      </c>
      <c r="F6" s="25" t="s">
        <v>63</v>
      </c>
      <c r="G6" s="5"/>
      <c r="H6" s="6"/>
      <c r="I6" s="5"/>
      <c r="J6" s="6"/>
      <c r="K6" s="5"/>
      <c r="L6" s="6"/>
      <c r="M6" s="5"/>
      <c r="N6" s="6"/>
      <c r="O6" s="5"/>
      <c r="P6" s="6"/>
      <c r="Q6" s="5"/>
      <c r="R6" s="6"/>
      <c r="S6" s="5"/>
      <c r="T6" s="6"/>
      <c r="U6" s="5"/>
      <c r="V6" s="6"/>
      <c r="W6" s="5"/>
      <c r="X6" s="6"/>
      <c r="Y6" s="5"/>
      <c r="Z6" s="6"/>
      <c r="AA6" s="28"/>
      <c r="AB6" s="6"/>
      <c r="AC6" s="28">
        <v>1</v>
      </c>
      <c r="AD6" s="6"/>
      <c r="AE6" s="28"/>
      <c r="AF6" s="6"/>
      <c r="AG6" s="5"/>
      <c r="AH6" s="6"/>
      <c r="AI6" s="5"/>
      <c r="AJ6" s="6"/>
      <c r="AK6" s="7"/>
      <c r="AL6" s="6"/>
      <c r="AM6" s="7"/>
      <c r="AN6" s="6"/>
      <c r="AO6" s="7"/>
      <c r="AP6" s="6"/>
      <c r="AQ6" s="7"/>
      <c r="AR6" s="6"/>
      <c r="AS6" s="4"/>
      <c r="AT6" s="4"/>
      <c r="AU6" s="4"/>
      <c r="AV6" s="4"/>
      <c r="AW6" s="4"/>
      <c r="AX6" s="3" t="s">
        <v>64</v>
      </c>
      <c r="AY6" s="3" t="s">
        <v>65</v>
      </c>
      <c r="AZ6" s="3" t="s">
        <v>66</v>
      </c>
    </row>
    <row r="7" spans="1:52" s="9" customFormat="1" x14ac:dyDescent="0.3">
      <c r="A7" s="23">
        <v>45674</v>
      </c>
      <c r="B7" s="24">
        <v>0.41458333333333336</v>
      </c>
      <c r="C7" s="25" t="s">
        <v>61</v>
      </c>
      <c r="D7" s="26">
        <v>31</v>
      </c>
      <c r="E7" s="29" t="s">
        <v>62</v>
      </c>
      <c r="F7" s="25" t="s">
        <v>63</v>
      </c>
      <c r="G7" s="5"/>
      <c r="H7" s="6"/>
      <c r="I7" s="5"/>
      <c r="J7" s="6"/>
      <c r="K7" s="5"/>
      <c r="L7" s="6"/>
      <c r="M7" s="5"/>
      <c r="N7" s="6"/>
      <c r="O7" s="5"/>
      <c r="P7" s="6"/>
      <c r="Q7" s="5"/>
      <c r="R7" s="6"/>
      <c r="S7" s="5"/>
      <c r="T7" s="6"/>
      <c r="U7" s="5"/>
      <c r="V7" s="6"/>
      <c r="W7" s="5"/>
      <c r="X7" s="6"/>
      <c r="Y7" s="5"/>
      <c r="Z7" s="6"/>
      <c r="AA7" s="28"/>
      <c r="AB7" s="6"/>
      <c r="AC7" s="28">
        <v>1</v>
      </c>
      <c r="AD7" s="6"/>
      <c r="AE7" s="28"/>
      <c r="AF7" s="6"/>
      <c r="AG7" s="5"/>
      <c r="AH7" s="6"/>
      <c r="AI7" s="5"/>
      <c r="AJ7" s="6"/>
      <c r="AK7" s="7"/>
      <c r="AL7" s="6"/>
      <c r="AM7" s="7"/>
      <c r="AN7" s="6"/>
      <c r="AO7" s="7"/>
      <c r="AP7" s="6"/>
      <c r="AQ7" s="7"/>
      <c r="AR7" s="6"/>
      <c r="AS7" s="4"/>
      <c r="AT7" s="4"/>
      <c r="AU7" s="4"/>
      <c r="AV7" s="4"/>
      <c r="AW7" s="4"/>
      <c r="AX7" s="3" t="s">
        <v>67</v>
      </c>
      <c r="AY7" s="3" t="s">
        <v>68</v>
      </c>
      <c r="AZ7" s="3"/>
    </row>
    <row r="8" spans="1:52" s="9" customFormat="1" x14ac:dyDescent="0.3">
      <c r="A8" s="23">
        <v>45674</v>
      </c>
      <c r="B8" s="24">
        <v>0.61319444444444449</v>
      </c>
      <c r="C8" s="25" t="s">
        <v>69</v>
      </c>
      <c r="D8" s="26"/>
      <c r="E8" s="27" t="s">
        <v>70</v>
      </c>
      <c r="F8" s="25" t="s">
        <v>71</v>
      </c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  <c r="S8" s="5"/>
      <c r="T8" s="6"/>
      <c r="U8" s="5"/>
      <c r="V8" s="6"/>
      <c r="W8" s="5"/>
      <c r="X8" s="6"/>
      <c r="Y8" s="5"/>
      <c r="Z8" s="6"/>
      <c r="AA8" s="28"/>
      <c r="AB8" s="6"/>
      <c r="AC8" s="28"/>
      <c r="AD8" s="6"/>
      <c r="AE8" s="28"/>
      <c r="AF8" s="6"/>
      <c r="AG8" s="5"/>
      <c r="AH8" s="6"/>
      <c r="AI8" s="5"/>
      <c r="AJ8" s="6"/>
      <c r="AK8" s="7"/>
      <c r="AL8" s="6"/>
      <c r="AM8" s="7"/>
      <c r="AN8" s="6"/>
      <c r="AO8" s="7"/>
      <c r="AP8" s="6"/>
      <c r="AQ8" s="7">
        <v>1</v>
      </c>
      <c r="AR8" s="6"/>
      <c r="AS8" s="4"/>
      <c r="AT8" s="4"/>
      <c r="AU8" s="4"/>
      <c r="AV8" s="4"/>
      <c r="AW8" s="4"/>
      <c r="AX8" s="3" t="s">
        <v>71</v>
      </c>
      <c r="AY8" s="3" t="s">
        <v>72</v>
      </c>
      <c r="AZ8" s="3" t="s">
        <v>56</v>
      </c>
    </row>
    <row r="9" spans="1:52" s="9" customFormat="1" x14ac:dyDescent="0.3">
      <c r="A9" s="23">
        <v>45677</v>
      </c>
      <c r="B9" s="24">
        <v>0.38819444444444445</v>
      </c>
      <c r="C9" s="30" t="s">
        <v>73</v>
      </c>
      <c r="D9" s="26">
        <v>32</v>
      </c>
      <c r="E9" s="27" t="s">
        <v>74</v>
      </c>
      <c r="F9" s="25" t="s">
        <v>30</v>
      </c>
      <c r="G9" s="5"/>
      <c r="H9" s="6"/>
      <c r="I9" s="5"/>
      <c r="J9" s="6"/>
      <c r="K9" s="5"/>
      <c r="L9" s="6"/>
      <c r="M9" s="5"/>
      <c r="N9" s="6"/>
      <c r="O9" s="5"/>
      <c r="P9" s="6"/>
      <c r="Q9" s="5"/>
      <c r="R9" s="6"/>
      <c r="S9" s="5"/>
      <c r="T9" s="6"/>
      <c r="U9" s="5"/>
      <c r="V9" s="6"/>
      <c r="W9" s="5"/>
      <c r="X9" s="6"/>
      <c r="Y9" s="5"/>
      <c r="Z9" s="6"/>
      <c r="AA9" s="28"/>
      <c r="AB9" s="6"/>
      <c r="AC9" s="28"/>
      <c r="AD9" s="6">
        <v>1</v>
      </c>
      <c r="AE9" s="28"/>
      <c r="AF9" s="6"/>
      <c r="AG9" s="5"/>
      <c r="AH9" s="6"/>
      <c r="AI9" s="5"/>
      <c r="AJ9" s="6"/>
      <c r="AK9" s="7"/>
      <c r="AL9" s="6"/>
      <c r="AM9" s="7"/>
      <c r="AN9" s="6"/>
      <c r="AO9" s="7"/>
      <c r="AP9" s="6"/>
      <c r="AQ9" s="7"/>
      <c r="AR9" s="6"/>
      <c r="AS9" s="4"/>
      <c r="AT9" s="4"/>
      <c r="AU9" s="4"/>
      <c r="AV9" s="4"/>
      <c r="AW9" s="4"/>
      <c r="AX9" s="3" t="s">
        <v>54</v>
      </c>
      <c r="AY9" s="3" t="s">
        <v>75</v>
      </c>
      <c r="AZ9" s="3" t="s">
        <v>56</v>
      </c>
    </row>
    <row r="10" spans="1:52" s="9" customFormat="1" x14ac:dyDescent="0.3">
      <c r="A10" s="23">
        <v>45677</v>
      </c>
      <c r="B10" s="24">
        <v>0.55555555555555558</v>
      </c>
      <c r="C10" s="30" t="s">
        <v>76</v>
      </c>
      <c r="D10" s="26">
        <v>32</v>
      </c>
      <c r="E10" s="27" t="s">
        <v>77</v>
      </c>
      <c r="F10" s="25" t="s">
        <v>30</v>
      </c>
      <c r="G10" s="5"/>
      <c r="H10" s="6"/>
      <c r="I10" s="5"/>
      <c r="J10" s="6"/>
      <c r="K10" s="5"/>
      <c r="L10" s="6"/>
      <c r="M10" s="5"/>
      <c r="N10" s="6"/>
      <c r="O10" s="5"/>
      <c r="P10" s="6"/>
      <c r="Q10" s="5"/>
      <c r="R10" s="6"/>
      <c r="S10" s="5"/>
      <c r="T10" s="6"/>
      <c r="U10" s="5"/>
      <c r="V10" s="6"/>
      <c r="W10" s="5"/>
      <c r="X10" s="6"/>
      <c r="Y10" s="5"/>
      <c r="Z10" s="6"/>
      <c r="AA10" s="28"/>
      <c r="AB10" s="6"/>
      <c r="AC10" s="28"/>
      <c r="AD10" s="6">
        <v>1</v>
      </c>
      <c r="AE10" s="28"/>
      <c r="AF10" s="6"/>
      <c r="AG10" s="5"/>
      <c r="AH10" s="6"/>
      <c r="AI10" s="5"/>
      <c r="AJ10" s="6"/>
      <c r="AK10" s="7"/>
      <c r="AL10" s="6"/>
      <c r="AM10" s="7"/>
      <c r="AN10" s="6"/>
      <c r="AO10" s="7"/>
      <c r="AP10" s="6"/>
      <c r="AQ10" s="7"/>
      <c r="AR10" s="6"/>
      <c r="AS10" s="4"/>
      <c r="AT10" s="4"/>
      <c r="AU10" s="4"/>
      <c r="AV10" s="4"/>
      <c r="AW10" s="4"/>
      <c r="AX10" s="3" t="s">
        <v>54</v>
      </c>
      <c r="AY10" s="3" t="s">
        <v>75</v>
      </c>
      <c r="AZ10" s="3" t="s">
        <v>56</v>
      </c>
    </row>
    <row r="11" spans="1:52" s="9" customFormat="1" x14ac:dyDescent="0.3">
      <c r="A11" s="23">
        <v>45677</v>
      </c>
      <c r="B11" s="24">
        <v>0.5625</v>
      </c>
      <c r="C11" s="30" t="s">
        <v>78</v>
      </c>
      <c r="D11" s="26">
        <v>39</v>
      </c>
      <c r="E11" s="27" t="s">
        <v>79</v>
      </c>
      <c r="F11" s="25" t="s">
        <v>30</v>
      </c>
      <c r="G11" s="5"/>
      <c r="H11" s="6"/>
      <c r="I11" s="5"/>
      <c r="J11" s="6"/>
      <c r="K11" s="5"/>
      <c r="L11" s="6"/>
      <c r="M11" s="5"/>
      <c r="N11" s="6"/>
      <c r="O11" s="5"/>
      <c r="P11" s="6"/>
      <c r="Q11" s="5"/>
      <c r="R11" s="6"/>
      <c r="S11" s="5"/>
      <c r="T11" s="6"/>
      <c r="U11" s="5"/>
      <c r="V11" s="6"/>
      <c r="W11" s="5"/>
      <c r="X11" s="6"/>
      <c r="Y11" s="5"/>
      <c r="Z11" s="6"/>
      <c r="AA11" s="28"/>
      <c r="AB11" s="6"/>
      <c r="AC11" s="28"/>
      <c r="AD11" s="6">
        <v>1</v>
      </c>
      <c r="AE11" s="28"/>
      <c r="AF11" s="6"/>
      <c r="AG11" s="5"/>
      <c r="AH11" s="6"/>
      <c r="AI11" s="5"/>
      <c r="AJ11" s="6"/>
      <c r="AK11" s="7"/>
      <c r="AL11" s="6"/>
      <c r="AM11" s="7"/>
      <c r="AN11" s="6"/>
      <c r="AO11" s="7"/>
      <c r="AP11" s="6"/>
      <c r="AQ11" s="7"/>
      <c r="AR11" s="6"/>
      <c r="AS11" s="4"/>
      <c r="AT11" s="4"/>
      <c r="AU11" s="4"/>
      <c r="AV11" s="4"/>
      <c r="AW11" s="4"/>
      <c r="AX11" s="3" t="s">
        <v>54</v>
      </c>
      <c r="AY11" s="3" t="s">
        <v>75</v>
      </c>
      <c r="AZ11" s="3" t="s">
        <v>56</v>
      </c>
    </row>
    <row r="12" spans="1:52" s="9" customFormat="1" x14ac:dyDescent="0.3">
      <c r="A12" s="23">
        <v>45680</v>
      </c>
      <c r="B12" s="24">
        <v>0.65138888888888891</v>
      </c>
      <c r="C12" s="25" t="s">
        <v>80</v>
      </c>
      <c r="D12" s="26">
        <v>50</v>
      </c>
      <c r="E12" s="27" t="s">
        <v>81</v>
      </c>
      <c r="F12" s="25" t="s">
        <v>15</v>
      </c>
      <c r="G12" s="5"/>
      <c r="H12" s="6"/>
      <c r="I12" s="5"/>
      <c r="J12" s="6"/>
      <c r="K12" s="5"/>
      <c r="L12" s="6"/>
      <c r="M12" s="5"/>
      <c r="N12" s="6"/>
      <c r="O12" s="5">
        <v>1</v>
      </c>
      <c r="P12" s="6"/>
      <c r="Q12" s="5"/>
      <c r="R12" s="6"/>
      <c r="S12" s="5"/>
      <c r="T12" s="6"/>
      <c r="U12" s="5"/>
      <c r="V12" s="6"/>
      <c r="W12" s="5"/>
      <c r="X12" s="6"/>
      <c r="Y12" s="5"/>
      <c r="Z12" s="6"/>
      <c r="AA12" s="28"/>
      <c r="AB12" s="6"/>
      <c r="AC12" s="28"/>
      <c r="AD12" s="6"/>
      <c r="AE12" s="28"/>
      <c r="AF12" s="6"/>
      <c r="AG12" s="5"/>
      <c r="AH12" s="6"/>
      <c r="AI12" s="5"/>
      <c r="AJ12" s="6"/>
      <c r="AK12" s="7"/>
      <c r="AL12" s="6"/>
      <c r="AM12" s="7"/>
      <c r="AN12" s="6"/>
      <c r="AO12" s="7"/>
      <c r="AP12" s="6"/>
      <c r="AQ12" s="7"/>
      <c r="AR12" s="6"/>
      <c r="AS12" s="4"/>
      <c r="AT12" s="4"/>
      <c r="AU12" s="4"/>
      <c r="AV12" s="4"/>
      <c r="AW12" s="4"/>
      <c r="AX12" s="3" t="s">
        <v>54</v>
      </c>
      <c r="AY12" s="3" t="s">
        <v>82</v>
      </c>
      <c r="AZ12" s="3" t="s">
        <v>56</v>
      </c>
    </row>
    <row r="13" spans="1:52" s="9" customFormat="1" x14ac:dyDescent="0.3">
      <c r="A13" s="23">
        <v>45685</v>
      </c>
      <c r="B13" s="24">
        <v>0.35347222222222224</v>
      </c>
      <c r="C13" s="25" t="s">
        <v>83</v>
      </c>
      <c r="D13" s="26">
        <v>29</v>
      </c>
      <c r="E13" s="25" t="s">
        <v>84</v>
      </c>
      <c r="F13" s="25" t="s">
        <v>30</v>
      </c>
      <c r="G13" s="5"/>
      <c r="H13" s="6"/>
      <c r="I13" s="5"/>
      <c r="J13" s="6"/>
      <c r="K13" s="5"/>
      <c r="L13" s="6"/>
      <c r="M13" s="5"/>
      <c r="N13" s="6"/>
      <c r="O13" s="5"/>
      <c r="P13" s="6"/>
      <c r="Q13" s="5"/>
      <c r="R13" s="6"/>
      <c r="S13" s="5"/>
      <c r="T13" s="6"/>
      <c r="U13" s="5"/>
      <c r="V13" s="6"/>
      <c r="W13" s="5"/>
      <c r="X13" s="6"/>
      <c r="Y13" s="5"/>
      <c r="Z13" s="6"/>
      <c r="AA13" s="28"/>
      <c r="AB13" s="6"/>
      <c r="AC13" s="28"/>
      <c r="AD13" s="6">
        <v>1</v>
      </c>
      <c r="AE13" s="28"/>
      <c r="AF13" s="6"/>
      <c r="AG13" s="5"/>
      <c r="AH13" s="6"/>
      <c r="AI13" s="5"/>
      <c r="AJ13" s="6"/>
      <c r="AK13" s="7"/>
      <c r="AL13" s="6"/>
      <c r="AM13" s="7"/>
      <c r="AN13" s="6"/>
      <c r="AO13" s="7"/>
      <c r="AP13" s="6"/>
      <c r="AQ13" s="7"/>
      <c r="AR13" s="6"/>
      <c r="AS13" s="4"/>
      <c r="AT13" s="4"/>
      <c r="AU13" s="4"/>
      <c r="AV13" s="4"/>
      <c r="AW13" s="4"/>
      <c r="AX13" s="3" t="s">
        <v>54</v>
      </c>
      <c r="AY13" s="3" t="s">
        <v>75</v>
      </c>
      <c r="AZ13" s="3" t="s">
        <v>56</v>
      </c>
    </row>
    <row r="14" spans="1:52" s="9" customFormat="1" ht="27.6" x14ac:dyDescent="0.3">
      <c r="A14" s="23">
        <v>45685</v>
      </c>
      <c r="B14" s="24">
        <v>0.39861111111111114</v>
      </c>
      <c r="C14" s="25" t="s">
        <v>85</v>
      </c>
      <c r="D14" s="26">
        <v>24</v>
      </c>
      <c r="E14" s="29" t="s">
        <v>86</v>
      </c>
      <c r="F14" s="25" t="s">
        <v>87</v>
      </c>
      <c r="G14" s="5"/>
      <c r="H14" s="6"/>
      <c r="I14" s="5"/>
      <c r="J14" s="6"/>
      <c r="K14" s="5"/>
      <c r="L14" s="6"/>
      <c r="M14" s="5"/>
      <c r="N14" s="6"/>
      <c r="O14" s="5"/>
      <c r="P14" s="6"/>
      <c r="Q14" s="5"/>
      <c r="R14" s="6"/>
      <c r="S14" s="5"/>
      <c r="T14" s="6"/>
      <c r="U14" s="5"/>
      <c r="V14" s="6"/>
      <c r="W14" s="5"/>
      <c r="X14" s="6"/>
      <c r="Y14" s="5"/>
      <c r="Z14" s="6"/>
      <c r="AA14" s="28"/>
      <c r="AB14" s="6"/>
      <c r="AC14" s="28"/>
      <c r="AD14" s="6"/>
      <c r="AE14" s="28"/>
      <c r="AF14" s="6"/>
      <c r="AG14" s="5"/>
      <c r="AH14" s="6"/>
      <c r="AI14" s="5"/>
      <c r="AJ14" s="6"/>
      <c r="AK14" s="7"/>
      <c r="AL14" s="6"/>
      <c r="AM14" s="7"/>
      <c r="AN14" s="6"/>
      <c r="AO14" s="7"/>
      <c r="AP14" s="6"/>
      <c r="AQ14" s="7"/>
      <c r="AR14" s="6"/>
      <c r="AS14" s="4"/>
      <c r="AT14" s="4"/>
      <c r="AU14" s="4"/>
      <c r="AV14" s="4"/>
      <c r="AW14" s="4"/>
      <c r="AX14" s="3" t="s">
        <v>88</v>
      </c>
      <c r="AY14" s="3" t="s">
        <v>89</v>
      </c>
      <c r="AZ14" s="3" t="s">
        <v>56</v>
      </c>
    </row>
    <row r="15" spans="1:52" s="9" customFormat="1" x14ac:dyDescent="0.3">
      <c r="A15" s="23">
        <v>45685</v>
      </c>
      <c r="B15" s="24">
        <v>0.55902777777777779</v>
      </c>
      <c r="C15" s="25" t="s">
        <v>90</v>
      </c>
      <c r="D15" s="26">
        <v>34</v>
      </c>
      <c r="E15" s="27" t="s">
        <v>79</v>
      </c>
      <c r="F15" s="25" t="s">
        <v>59</v>
      </c>
      <c r="G15" s="5">
        <v>1</v>
      </c>
      <c r="H15" s="6"/>
      <c r="I15" s="5"/>
      <c r="J15" s="6"/>
      <c r="K15" s="5"/>
      <c r="L15" s="6"/>
      <c r="M15" s="5"/>
      <c r="N15" s="6"/>
      <c r="O15" s="5"/>
      <c r="P15" s="6"/>
      <c r="Q15" s="5"/>
      <c r="R15" s="6"/>
      <c r="S15" s="5"/>
      <c r="T15" s="6"/>
      <c r="U15" s="5"/>
      <c r="V15" s="6"/>
      <c r="W15" s="5"/>
      <c r="X15" s="6"/>
      <c r="Y15" s="5"/>
      <c r="Z15" s="6"/>
      <c r="AA15" s="28"/>
      <c r="AB15" s="6"/>
      <c r="AC15" s="28"/>
      <c r="AD15" s="6"/>
      <c r="AE15" s="28"/>
      <c r="AF15" s="6"/>
      <c r="AG15" s="5"/>
      <c r="AH15" s="6"/>
      <c r="AI15" s="5"/>
      <c r="AJ15" s="6"/>
      <c r="AK15" s="7"/>
      <c r="AL15" s="6"/>
      <c r="AM15" s="7"/>
      <c r="AN15" s="6"/>
      <c r="AO15" s="7"/>
      <c r="AP15" s="6"/>
      <c r="AQ15" s="7"/>
      <c r="AR15" s="6"/>
      <c r="AS15" s="4"/>
      <c r="AT15" s="4"/>
      <c r="AU15" s="4"/>
      <c r="AV15" s="4"/>
      <c r="AW15" s="4"/>
      <c r="AX15" s="3" t="s">
        <v>54</v>
      </c>
      <c r="AY15" s="3" t="s">
        <v>60</v>
      </c>
      <c r="AZ15" s="3" t="s">
        <v>56</v>
      </c>
    </row>
    <row r="16" spans="1:52" s="9" customFormat="1" x14ac:dyDescent="0.3">
      <c r="A16" s="23">
        <v>45691</v>
      </c>
      <c r="B16" s="24">
        <v>0.62152777777777779</v>
      </c>
      <c r="C16" s="25" t="s">
        <v>91</v>
      </c>
      <c r="D16" s="26">
        <v>24</v>
      </c>
      <c r="E16" s="27" t="s">
        <v>86</v>
      </c>
      <c r="F16" s="25" t="s">
        <v>15</v>
      </c>
      <c r="G16" s="5"/>
      <c r="H16" s="6"/>
      <c r="I16" s="5"/>
      <c r="J16" s="6"/>
      <c r="K16" s="5"/>
      <c r="L16" s="6"/>
      <c r="M16" s="5"/>
      <c r="N16" s="6"/>
      <c r="O16" s="5">
        <v>1</v>
      </c>
      <c r="P16" s="6"/>
      <c r="Q16" s="5"/>
      <c r="R16" s="6"/>
      <c r="S16" s="5"/>
      <c r="T16" s="6"/>
      <c r="U16" s="5"/>
      <c r="V16" s="6"/>
      <c r="W16" s="5"/>
      <c r="X16" s="6"/>
      <c r="Y16" s="5"/>
      <c r="Z16" s="6"/>
      <c r="AA16" s="28"/>
      <c r="AB16" s="6"/>
      <c r="AC16" s="28"/>
      <c r="AD16" s="6"/>
      <c r="AE16" s="28"/>
      <c r="AF16" s="6"/>
      <c r="AG16" s="5"/>
      <c r="AH16" s="6"/>
      <c r="AI16" s="5"/>
      <c r="AJ16" s="6"/>
      <c r="AK16" s="7"/>
      <c r="AL16" s="6"/>
      <c r="AM16" s="7"/>
      <c r="AN16" s="6"/>
      <c r="AO16" s="7"/>
      <c r="AP16" s="6"/>
      <c r="AQ16" s="7"/>
      <c r="AR16" s="6"/>
      <c r="AS16" s="4"/>
      <c r="AT16" s="4"/>
      <c r="AU16" s="4"/>
      <c r="AV16" s="4"/>
      <c r="AW16" s="4"/>
      <c r="AX16" s="3" t="s">
        <v>54</v>
      </c>
      <c r="AY16" s="3" t="s">
        <v>82</v>
      </c>
      <c r="AZ16" s="3" t="s">
        <v>56</v>
      </c>
    </row>
    <row r="17" spans="1:52" s="9" customFormat="1" x14ac:dyDescent="0.3">
      <c r="A17" s="23">
        <v>45694</v>
      </c>
      <c r="B17" s="24">
        <v>0.58888888888888891</v>
      </c>
      <c r="C17" s="25" t="s">
        <v>80</v>
      </c>
      <c r="D17" s="26">
        <v>50</v>
      </c>
      <c r="E17" s="27" t="s">
        <v>81</v>
      </c>
      <c r="F17" s="25" t="s">
        <v>92</v>
      </c>
      <c r="G17" s="5"/>
      <c r="H17" s="6"/>
      <c r="I17" s="5"/>
      <c r="J17" s="6">
        <v>1</v>
      </c>
      <c r="K17" s="5"/>
      <c r="L17" s="6"/>
      <c r="M17" s="5"/>
      <c r="N17" s="6"/>
      <c r="O17" s="5"/>
      <c r="P17" s="6"/>
      <c r="Q17" s="5"/>
      <c r="R17" s="6"/>
      <c r="S17" s="5"/>
      <c r="T17" s="6"/>
      <c r="U17" s="5"/>
      <c r="V17" s="6"/>
      <c r="W17" s="5"/>
      <c r="X17" s="6"/>
      <c r="Y17" s="5"/>
      <c r="Z17" s="6"/>
      <c r="AA17" s="28"/>
      <c r="AB17" s="6"/>
      <c r="AC17" s="28"/>
      <c r="AD17" s="6"/>
      <c r="AE17" s="28"/>
      <c r="AF17" s="6"/>
      <c r="AG17" s="5"/>
      <c r="AH17" s="6"/>
      <c r="AI17" s="5"/>
      <c r="AJ17" s="6"/>
      <c r="AK17" s="7"/>
      <c r="AL17" s="6"/>
      <c r="AM17" s="7"/>
      <c r="AN17" s="6"/>
      <c r="AO17" s="7"/>
      <c r="AP17" s="6"/>
      <c r="AQ17" s="7"/>
      <c r="AR17" s="6"/>
      <c r="AS17" s="4"/>
      <c r="AT17" s="4"/>
      <c r="AU17" s="4"/>
      <c r="AV17" s="4"/>
      <c r="AW17" s="4"/>
      <c r="AX17" s="3" t="s">
        <v>54</v>
      </c>
      <c r="AY17" s="3" t="s">
        <v>93</v>
      </c>
      <c r="AZ17" s="3" t="s">
        <v>56</v>
      </c>
    </row>
    <row r="18" spans="1:52" s="9" customFormat="1" x14ac:dyDescent="0.3">
      <c r="A18" s="23">
        <v>45698</v>
      </c>
      <c r="B18" s="24">
        <v>0.68819444444444444</v>
      </c>
      <c r="C18" s="30" t="s">
        <v>94</v>
      </c>
      <c r="D18" s="26">
        <v>21</v>
      </c>
      <c r="E18" s="27" t="s">
        <v>95</v>
      </c>
      <c r="F18" s="25" t="s">
        <v>40</v>
      </c>
      <c r="G18" s="5"/>
      <c r="H18" s="6"/>
      <c r="I18" s="5"/>
      <c r="J18" s="6"/>
      <c r="K18" s="5"/>
      <c r="L18" s="6"/>
      <c r="M18" s="5"/>
      <c r="N18" s="6"/>
      <c r="O18" s="5"/>
      <c r="P18" s="6"/>
      <c r="Q18" s="5"/>
      <c r="R18" s="6"/>
      <c r="S18" s="5"/>
      <c r="T18" s="6"/>
      <c r="U18" s="5"/>
      <c r="V18" s="6"/>
      <c r="W18" s="5"/>
      <c r="X18" s="6"/>
      <c r="Y18" s="5"/>
      <c r="Z18" s="6"/>
      <c r="AA18" s="28"/>
      <c r="AB18" s="6"/>
      <c r="AC18" s="28"/>
      <c r="AD18" s="6"/>
      <c r="AE18" s="28"/>
      <c r="AF18" s="6"/>
      <c r="AG18" s="5"/>
      <c r="AH18" s="6"/>
      <c r="AI18" s="5"/>
      <c r="AJ18" s="6"/>
      <c r="AK18" s="7"/>
      <c r="AL18" s="6"/>
      <c r="AM18" s="7"/>
      <c r="AN18" s="6">
        <v>1</v>
      </c>
      <c r="AO18" s="7"/>
      <c r="AP18" s="6"/>
      <c r="AQ18" s="7"/>
      <c r="AR18" s="6"/>
      <c r="AS18" s="4"/>
      <c r="AT18" s="4"/>
      <c r="AU18" s="4"/>
      <c r="AV18" s="4"/>
      <c r="AW18" s="4"/>
      <c r="AX18" s="3" t="s">
        <v>54</v>
      </c>
      <c r="AY18" s="3" t="s">
        <v>96</v>
      </c>
      <c r="AZ18" s="3" t="s">
        <v>56</v>
      </c>
    </row>
    <row r="19" spans="1:52" s="9" customFormat="1" x14ac:dyDescent="0.3">
      <c r="A19" s="23">
        <v>45698</v>
      </c>
      <c r="B19" s="24">
        <v>0.70138888888888884</v>
      </c>
      <c r="C19" s="30" t="s">
        <v>97</v>
      </c>
      <c r="D19" s="26">
        <v>57</v>
      </c>
      <c r="E19" s="27" t="s">
        <v>98</v>
      </c>
      <c r="F19" s="25" t="s">
        <v>40</v>
      </c>
      <c r="G19" s="5"/>
      <c r="H19" s="6"/>
      <c r="I19" s="5"/>
      <c r="J19" s="6"/>
      <c r="K19" s="5"/>
      <c r="L19" s="6"/>
      <c r="M19" s="5"/>
      <c r="N19" s="6"/>
      <c r="O19" s="5"/>
      <c r="P19" s="6"/>
      <c r="Q19" s="5"/>
      <c r="R19" s="6"/>
      <c r="S19" s="5"/>
      <c r="T19" s="6"/>
      <c r="U19" s="5"/>
      <c r="V19" s="6"/>
      <c r="W19" s="5"/>
      <c r="X19" s="6"/>
      <c r="Y19" s="5"/>
      <c r="Z19" s="6"/>
      <c r="AA19" s="28"/>
      <c r="AB19" s="6"/>
      <c r="AC19" s="28"/>
      <c r="AD19" s="6"/>
      <c r="AE19" s="28"/>
      <c r="AF19" s="6"/>
      <c r="AG19" s="5"/>
      <c r="AH19" s="6"/>
      <c r="AI19" s="5"/>
      <c r="AJ19" s="6"/>
      <c r="AK19" s="7"/>
      <c r="AL19" s="6"/>
      <c r="AM19" s="7"/>
      <c r="AN19" s="6">
        <v>1</v>
      </c>
      <c r="AO19" s="7"/>
      <c r="AP19" s="6"/>
      <c r="AQ19" s="7"/>
      <c r="AR19" s="6"/>
      <c r="AS19" s="4"/>
      <c r="AT19" s="4"/>
      <c r="AU19" s="4"/>
      <c r="AV19" s="4"/>
      <c r="AW19" s="4"/>
      <c r="AX19" s="3" t="s">
        <v>54</v>
      </c>
      <c r="AY19" s="3" t="s">
        <v>99</v>
      </c>
      <c r="AZ19" s="3" t="s">
        <v>56</v>
      </c>
    </row>
    <row r="20" spans="1:52" s="9" customFormat="1" x14ac:dyDescent="0.3">
      <c r="A20" s="23">
        <v>45709</v>
      </c>
      <c r="B20" s="24">
        <v>0.58402777777777781</v>
      </c>
      <c r="C20" s="25" t="s">
        <v>52</v>
      </c>
      <c r="D20" s="26">
        <v>27</v>
      </c>
      <c r="E20" s="27" t="s">
        <v>53</v>
      </c>
      <c r="F20" s="25" t="s">
        <v>15</v>
      </c>
      <c r="G20" s="5"/>
      <c r="H20" s="6"/>
      <c r="I20" s="5"/>
      <c r="J20" s="6"/>
      <c r="K20" s="5"/>
      <c r="L20" s="6"/>
      <c r="M20" s="5"/>
      <c r="N20" s="6"/>
      <c r="O20" s="5">
        <v>1</v>
      </c>
      <c r="P20" s="6"/>
      <c r="Q20" s="5"/>
      <c r="R20" s="6"/>
      <c r="S20" s="5"/>
      <c r="T20" s="6"/>
      <c r="U20" s="5"/>
      <c r="V20" s="6"/>
      <c r="W20" s="5"/>
      <c r="X20" s="6"/>
      <c r="Y20" s="5"/>
      <c r="Z20" s="6"/>
      <c r="AA20" s="28"/>
      <c r="AB20" s="6"/>
      <c r="AC20" s="28"/>
      <c r="AD20" s="6"/>
      <c r="AE20" s="28"/>
      <c r="AF20" s="6"/>
      <c r="AG20" s="5"/>
      <c r="AH20" s="6"/>
      <c r="AI20" s="5"/>
      <c r="AJ20" s="6"/>
      <c r="AK20" s="7"/>
      <c r="AL20" s="6"/>
      <c r="AM20" s="7"/>
      <c r="AN20" s="6"/>
      <c r="AO20" s="7"/>
      <c r="AP20" s="6"/>
      <c r="AQ20" s="7"/>
      <c r="AR20" s="6"/>
      <c r="AS20" s="4"/>
      <c r="AT20" s="4"/>
      <c r="AU20" s="4"/>
      <c r="AV20" s="4"/>
      <c r="AW20" s="4"/>
      <c r="AX20" s="3" t="s">
        <v>54</v>
      </c>
      <c r="AY20" s="3" t="s">
        <v>100</v>
      </c>
      <c r="AZ20" s="3" t="s">
        <v>56</v>
      </c>
    </row>
    <row r="21" spans="1:52" s="9" customFormat="1" ht="27.6" x14ac:dyDescent="0.3">
      <c r="A21" s="23">
        <v>45719</v>
      </c>
      <c r="B21" s="24">
        <v>0.6069444444444444</v>
      </c>
      <c r="C21" s="25" t="s">
        <v>101</v>
      </c>
      <c r="D21" s="26">
        <v>27</v>
      </c>
      <c r="E21" s="27" t="s">
        <v>102</v>
      </c>
      <c r="F21" s="25" t="s">
        <v>103</v>
      </c>
      <c r="G21" s="5"/>
      <c r="H21" s="6"/>
      <c r="I21" s="5"/>
      <c r="J21" s="6"/>
      <c r="K21" s="5"/>
      <c r="L21" s="6"/>
      <c r="M21" s="5"/>
      <c r="N21" s="6"/>
      <c r="O21" s="5"/>
      <c r="P21" s="6"/>
      <c r="Q21" s="5"/>
      <c r="R21" s="6"/>
      <c r="S21" s="5"/>
      <c r="T21" s="6"/>
      <c r="U21" s="5"/>
      <c r="V21" s="6"/>
      <c r="W21" s="5"/>
      <c r="X21" s="6"/>
      <c r="Y21" s="5"/>
      <c r="Z21" s="6"/>
      <c r="AA21" s="28"/>
      <c r="AB21" s="6"/>
      <c r="AC21" s="28"/>
      <c r="AD21" s="6"/>
      <c r="AE21" s="28"/>
      <c r="AF21" s="6"/>
      <c r="AG21" s="5">
        <v>1</v>
      </c>
      <c r="AH21" s="6"/>
      <c r="AI21" s="5"/>
      <c r="AJ21" s="6"/>
      <c r="AK21" s="7"/>
      <c r="AL21" s="6"/>
      <c r="AM21" s="7"/>
      <c r="AN21" s="6"/>
      <c r="AO21" s="7"/>
      <c r="AP21" s="6"/>
      <c r="AQ21" s="7"/>
      <c r="AR21" s="6"/>
      <c r="AS21" s="4"/>
      <c r="AT21" s="4"/>
      <c r="AU21" s="4"/>
      <c r="AV21" s="4"/>
      <c r="AW21" s="4"/>
      <c r="AX21" s="3" t="s">
        <v>104</v>
      </c>
      <c r="AY21" s="3" t="s">
        <v>105</v>
      </c>
      <c r="AZ21" s="3" t="s">
        <v>56</v>
      </c>
    </row>
    <row r="22" spans="1:52" s="9" customFormat="1" x14ac:dyDescent="0.3">
      <c r="A22" s="23">
        <v>45720</v>
      </c>
      <c r="B22" s="24">
        <v>0.55138888888888893</v>
      </c>
      <c r="C22" s="25" t="s">
        <v>106</v>
      </c>
      <c r="D22" s="26">
        <v>51</v>
      </c>
      <c r="E22" s="27" t="s">
        <v>107</v>
      </c>
      <c r="F22" s="25" t="s">
        <v>15</v>
      </c>
      <c r="G22" s="5"/>
      <c r="H22" s="6"/>
      <c r="I22" s="5"/>
      <c r="J22" s="6"/>
      <c r="K22" s="5"/>
      <c r="L22" s="6"/>
      <c r="M22" s="5"/>
      <c r="N22" s="6"/>
      <c r="O22" s="5">
        <v>1</v>
      </c>
      <c r="P22" s="6"/>
      <c r="Q22" s="5"/>
      <c r="R22" s="6"/>
      <c r="S22" s="5"/>
      <c r="T22" s="6"/>
      <c r="U22" s="5"/>
      <c r="V22" s="6"/>
      <c r="W22" s="5"/>
      <c r="X22" s="6"/>
      <c r="Y22" s="5"/>
      <c r="Z22" s="6"/>
      <c r="AA22" s="28"/>
      <c r="AB22" s="6"/>
      <c r="AC22" s="28"/>
      <c r="AD22" s="6"/>
      <c r="AE22" s="28"/>
      <c r="AF22" s="6"/>
      <c r="AG22" s="5"/>
      <c r="AH22" s="6"/>
      <c r="AI22" s="5"/>
      <c r="AJ22" s="6"/>
      <c r="AK22" s="7"/>
      <c r="AL22" s="6"/>
      <c r="AM22" s="7"/>
      <c r="AN22" s="6"/>
      <c r="AO22" s="7"/>
      <c r="AP22" s="6"/>
      <c r="AQ22" s="7"/>
      <c r="AR22" s="6"/>
      <c r="AS22" s="4"/>
      <c r="AT22" s="4"/>
      <c r="AU22" s="4"/>
      <c r="AV22" s="4"/>
      <c r="AW22" s="4"/>
      <c r="AX22" s="3" t="s">
        <v>54</v>
      </c>
      <c r="AY22" s="3" t="s">
        <v>100</v>
      </c>
      <c r="AZ22" s="3" t="s">
        <v>56</v>
      </c>
    </row>
    <row r="23" spans="1:52" s="9" customFormat="1" x14ac:dyDescent="0.3">
      <c r="A23" s="23">
        <v>45725</v>
      </c>
      <c r="B23" s="24">
        <v>0.46388888888888891</v>
      </c>
      <c r="C23" s="25" t="s">
        <v>80</v>
      </c>
      <c r="D23" s="26">
        <v>50</v>
      </c>
      <c r="E23" s="27" t="s">
        <v>81</v>
      </c>
      <c r="F23" s="25" t="s">
        <v>108</v>
      </c>
      <c r="G23" s="5"/>
      <c r="H23" s="6"/>
      <c r="I23" s="5"/>
      <c r="J23" s="6"/>
      <c r="K23" s="5"/>
      <c r="L23" s="6"/>
      <c r="M23" s="5"/>
      <c r="N23" s="6"/>
      <c r="O23" s="5"/>
      <c r="P23" s="6"/>
      <c r="Q23" s="5"/>
      <c r="R23" s="6"/>
      <c r="S23" s="5"/>
      <c r="T23" s="6"/>
      <c r="U23" s="5"/>
      <c r="V23" s="6"/>
      <c r="W23" s="5"/>
      <c r="X23" s="6"/>
      <c r="Y23" s="5"/>
      <c r="Z23" s="6"/>
      <c r="AA23" s="28"/>
      <c r="AB23" s="6"/>
      <c r="AC23" s="28"/>
      <c r="AD23" s="6"/>
      <c r="AE23" s="28"/>
      <c r="AF23" s="6"/>
      <c r="AG23" s="5"/>
      <c r="AH23" s="6"/>
      <c r="AI23" s="5">
        <v>1</v>
      </c>
      <c r="AJ23" s="6"/>
      <c r="AK23" s="7"/>
      <c r="AL23" s="6"/>
      <c r="AM23" s="7"/>
      <c r="AN23" s="6"/>
      <c r="AO23" s="7"/>
      <c r="AP23" s="6"/>
      <c r="AQ23" s="7"/>
      <c r="AR23" s="6"/>
      <c r="AS23" s="4"/>
      <c r="AT23" s="4"/>
      <c r="AU23" s="4"/>
      <c r="AV23" s="4"/>
      <c r="AW23" s="4"/>
      <c r="AX23" s="3" t="s">
        <v>54</v>
      </c>
      <c r="AY23" s="3" t="s">
        <v>96</v>
      </c>
      <c r="AZ23" s="3" t="s">
        <v>56</v>
      </c>
    </row>
    <row r="24" spans="1:52" s="9" customFormat="1" ht="27.6" x14ac:dyDescent="0.3">
      <c r="A24" s="23">
        <v>45726</v>
      </c>
      <c r="B24" s="24">
        <v>0.63472222222222219</v>
      </c>
      <c r="C24" s="30" t="s">
        <v>97</v>
      </c>
      <c r="D24" s="26">
        <v>57</v>
      </c>
      <c r="E24" s="27" t="s">
        <v>98</v>
      </c>
      <c r="F24" s="25" t="s">
        <v>15</v>
      </c>
      <c r="G24" s="5"/>
      <c r="H24" s="6"/>
      <c r="I24" s="5"/>
      <c r="J24" s="6"/>
      <c r="K24" s="5"/>
      <c r="L24" s="6"/>
      <c r="M24" s="5"/>
      <c r="N24" s="6"/>
      <c r="O24" s="5">
        <v>1</v>
      </c>
      <c r="P24" s="6"/>
      <c r="Q24" s="5"/>
      <c r="R24" s="6"/>
      <c r="S24" s="5"/>
      <c r="T24" s="6"/>
      <c r="U24" s="5"/>
      <c r="V24" s="6"/>
      <c r="W24" s="5"/>
      <c r="X24" s="6"/>
      <c r="Y24" s="5"/>
      <c r="Z24" s="6"/>
      <c r="AA24" s="28"/>
      <c r="AB24" s="6"/>
      <c r="AC24" s="28"/>
      <c r="AD24" s="6"/>
      <c r="AE24" s="28"/>
      <c r="AF24" s="6"/>
      <c r="AG24" s="5"/>
      <c r="AH24" s="6"/>
      <c r="AI24" s="5"/>
      <c r="AJ24" s="6"/>
      <c r="AK24" s="7"/>
      <c r="AL24" s="6"/>
      <c r="AM24" s="7"/>
      <c r="AN24" s="6"/>
      <c r="AO24" s="7"/>
      <c r="AP24" s="6"/>
      <c r="AQ24" s="7"/>
      <c r="AR24" s="6"/>
      <c r="AS24" s="4"/>
      <c r="AT24" s="4"/>
      <c r="AU24" s="4"/>
      <c r="AV24" s="4"/>
      <c r="AW24" s="4"/>
      <c r="AX24" s="3" t="s">
        <v>54</v>
      </c>
      <c r="AY24" s="3" t="s">
        <v>109</v>
      </c>
      <c r="AZ24" s="3" t="s">
        <v>56</v>
      </c>
    </row>
    <row r="25" spans="1:52" s="9" customFormat="1" x14ac:dyDescent="0.3">
      <c r="A25" s="23">
        <v>45728</v>
      </c>
      <c r="B25" s="24">
        <v>0.39513888888888887</v>
      </c>
      <c r="C25" s="25" t="s">
        <v>110</v>
      </c>
      <c r="D25" s="26">
        <v>23</v>
      </c>
      <c r="E25" s="27" t="s">
        <v>111</v>
      </c>
      <c r="F25" s="25" t="s">
        <v>30</v>
      </c>
      <c r="G25" s="5"/>
      <c r="H25" s="6"/>
      <c r="I25" s="5"/>
      <c r="J25" s="6"/>
      <c r="K25" s="5"/>
      <c r="L25" s="6"/>
      <c r="M25" s="5"/>
      <c r="N25" s="6"/>
      <c r="O25" s="5"/>
      <c r="P25" s="6"/>
      <c r="Q25" s="5"/>
      <c r="R25" s="6"/>
      <c r="S25" s="5"/>
      <c r="T25" s="6"/>
      <c r="U25" s="5"/>
      <c r="V25" s="6"/>
      <c r="W25" s="5"/>
      <c r="X25" s="6"/>
      <c r="Y25" s="5"/>
      <c r="Z25" s="6"/>
      <c r="AA25" s="28"/>
      <c r="AB25" s="6"/>
      <c r="AC25" s="28"/>
      <c r="AD25" s="6">
        <v>1</v>
      </c>
      <c r="AE25" s="28"/>
      <c r="AF25" s="6"/>
      <c r="AG25" s="5"/>
      <c r="AH25" s="6"/>
      <c r="AI25" s="5"/>
      <c r="AJ25" s="6"/>
      <c r="AK25" s="7"/>
      <c r="AL25" s="6"/>
      <c r="AM25" s="7"/>
      <c r="AN25" s="6"/>
      <c r="AO25" s="7"/>
      <c r="AP25" s="6"/>
      <c r="AQ25" s="7"/>
      <c r="AR25" s="6"/>
      <c r="AS25" s="4"/>
      <c r="AT25" s="4"/>
      <c r="AU25" s="4"/>
      <c r="AV25" s="4"/>
      <c r="AW25" s="4"/>
      <c r="AX25" s="3" t="s">
        <v>54</v>
      </c>
      <c r="AY25" s="3" t="s">
        <v>75</v>
      </c>
      <c r="AZ25" s="3" t="s">
        <v>56</v>
      </c>
    </row>
    <row r="26" spans="1:52" s="9" customFormat="1" x14ac:dyDescent="0.3">
      <c r="A26" s="23">
        <v>45728</v>
      </c>
      <c r="B26" s="24">
        <v>0.40694444444444444</v>
      </c>
      <c r="C26" s="25" t="s">
        <v>94</v>
      </c>
      <c r="D26" s="26">
        <v>21</v>
      </c>
      <c r="E26" s="27" t="s">
        <v>112</v>
      </c>
      <c r="F26" s="25" t="s">
        <v>113</v>
      </c>
      <c r="G26" s="5"/>
      <c r="H26" s="6"/>
      <c r="I26" s="5"/>
      <c r="J26" s="6"/>
      <c r="K26" s="5"/>
      <c r="L26" s="6"/>
      <c r="M26" s="5"/>
      <c r="N26" s="6"/>
      <c r="O26" s="5">
        <v>1</v>
      </c>
      <c r="P26" s="6"/>
      <c r="Q26" s="5"/>
      <c r="R26" s="6"/>
      <c r="S26" s="5"/>
      <c r="T26" s="6"/>
      <c r="U26" s="5"/>
      <c r="V26" s="6"/>
      <c r="W26" s="5"/>
      <c r="X26" s="6"/>
      <c r="Y26" s="5"/>
      <c r="Z26" s="6"/>
      <c r="AA26" s="28"/>
      <c r="AB26" s="6"/>
      <c r="AC26" s="28"/>
      <c r="AD26" s="6"/>
      <c r="AE26" s="28"/>
      <c r="AF26" s="6"/>
      <c r="AG26" s="5"/>
      <c r="AH26" s="6"/>
      <c r="AI26" s="5"/>
      <c r="AJ26" s="6"/>
      <c r="AK26" s="7"/>
      <c r="AL26" s="6"/>
      <c r="AM26" s="7"/>
      <c r="AN26" s="6"/>
      <c r="AO26" s="7"/>
      <c r="AP26" s="6"/>
      <c r="AQ26" s="7"/>
      <c r="AR26" s="6"/>
      <c r="AS26" s="4"/>
      <c r="AT26" s="4"/>
      <c r="AU26" s="4"/>
      <c r="AV26" s="4"/>
      <c r="AW26" s="4"/>
      <c r="AX26" s="3" t="s">
        <v>54</v>
      </c>
      <c r="AY26" s="3" t="s">
        <v>114</v>
      </c>
      <c r="AZ26" s="3" t="s">
        <v>56</v>
      </c>
    </row>
    <row r="27" spans="1:52" s="9" customFormat="1" x14ac:dyDescent="0.3">
      <c r="A27" s="23">
        <v>45728</v>
      </c>
      <c r="B27" s="24">
        <v>0.4152777777777778</v>
      </c>
      <c r="C27" s="30" t="s">
        <v>115</v>
      </c>
      <c r="D27" s="26">
        <v>26</v>
      </c>
      <c r="E27" s="27" t="s">
        <v>116</v>
      </c>
      <c r="F27" s="25" t="s">
        <v>15</v>
      </c>
      <c r="G27" s="5"/>
      <c r="H27" s="6"/>
      <c r="I27" s="5"/>
      <c r="J27" s="6"/>
      <c r="K27" s="5"/>
      <c r="L27" s="6"/>
      <c r="M27" s="5"/>
      <c r="N27" s="6"/>
      <c r="O27" s="5">
        <v>1</v>
      </c>
      <c r="P27" s="6"/>
      <c r="Q27" s="5"/>
      <c r="R27" s="6"/>
      <c r="S27" s="5"/>
      <c r="T27" s="6"/>
      <c r="U27" s="5"/>
      <c r="V27" s="6"/>
      <c r="W27" s="5"/>
      <c r="X27" s="6"/>
      <c r="Y27" s="5"/>
      <c r="Z27" s="6"/>
      <c r="AA27" s="28"/>
      <c r="AB27" s="6"/>
      <c r="AC27" s="28"/>
      <c r="AD27" s="6"/>
      <c r="AE27" s="28"/>
      <c r="AF27" s="6"/>
      <c r="AG27" s="5"/>
      <c r="AH27" s="6"/>
      <c r="AI27" s="5"/>
      <c r="AJ27" s="6"/>
      <c r="AK27" s="7"/>
      <c r="AL27" s="6"/>
      <c r="AM27" s="7"/>
      <c r="AN27" s="6"/>
      <c r="AO27" s="7"/>
      <c r="AP27" s="6"/>
      <c r="AQ27" s="7"/>
      <c r="AR27" s="6"/>
      <c r="AS27" s="4"/>
      <c r="AT27" s="4"/>
      <c r="AU27" s="4"/>
      <c r="AV27" s="4"/>
      <c r="AW27" s="4"/>
      <c r="AX27" s="3" t="s">
        <v>54</v>
      </c>
      <c r="AY27" s="3" t="s">
        <v>75</v>
      </c>
      <c r="AZ27" s="3" t="s">
        <v>56</v>
      </c>
    </row>
    <row r="28" spans="1:52" s="9" customFormat="1" x14ac:dyDescent="0.3">
      <c r="A28" s="23">
        <v>45728</v>
      </c>
      <c r="B28" s="24">
        <v>0.4152777777777778</v>
      </c>
      <c r="C28" s="30" t="s">
        <v>57</v>
      </c>
      <c r="D28" s="26">
        <v>32</v>
      </c>
      <c r="E28" s="27" t="s">
        <v>117</v>
      </c>
      <c r="F28" s="25" t="s">
        <v>30</v>
      </c>
      <c r="G28" s="5"/>
      <c r="H28" s="6"/>
      <c r="I28" s="5"/>
      <c r="J28" s="6"/>
      <c r="K28" s="5"/>
      <c r="L28" s="6"/>
      <c r="M28" s="5"/>
      <c r="N28" s="6"/>
      <c r="O28" s="5"/>
      <c r="P28" s="6"/>
      <c r="Q28" s="5"/>
      <c r="R28" s="6"/>
      <c r="S28" s="5"/>
      <c r="T28" s="6"/>
      <c r="U28" s="5"/>
      <c r="V28" s="6"/>
      <c r="W28" s="5"/>
      <c r="X28" s="6"/>
      <c r="Y28" s="5"/>
      <c r="Z28" s="6"/>
      <c r="AA28" s="28"/>
      <c r="AB28" s="6"/>
      <c r="AC28" s="28"/>
      <c r="AD28" s="6">
        <v>1</v>
      </c>
      <c r="AE28" s="28"/>
      <c r="AF28" s="6"/>
      <c r="AG28" s="5"/>
      <c r="AH28" s="6"/>
      <c r="AI28" s="5"/>
      <c r="AJ28" s="6"/>
      <c r="AK28" s="7"/>
      <c r="AL28" s="6"/>
      <c r="AM28" s="7"/>
      <c r="AN28" s="6"/>
      <c r="AO28" s="7"/>
      <c r="AP28" s="6"/>
      <c r="AQ28" s="7"/>
      <c r="AR28" s="6"/>
      <c r="AS28" s="4"/>
      <c r="AT28" s="4"/>
      <c r="AU28" s="4"/>
      <c r="AV28" s="4"/>
      <c r="AW28" s="4"/>
      <c r="AX28" s="3" t="s">
        <v>54</v>
      </c>
      <c r="AY28" s="3" t="s">
        <v>100</v>
      </c>
      <c r="AZ28" s="3" t="s">
        <v>56</v>
      </c>
    </row>
    <row r="29" spans="1:52" s="9" customFormat="1" x14ac:dyDescent="0.3">
      <c r="A29" s="23">
        <v>45736</v>
      </c>
      <c r="B29" s="24">
        <v>0.36666666666666664</v>
      </c>
      <c r="C29" s="25" t="s">
        <v>118</v>
      </c>
      <c r="D29" s="26">
        <v>30</v>
      </c>
      <c r="E29" s="27" t="s">
        <v>119</v>
      </c>
      <c r="F29" s="25" t="s">
        <v>30</v>
      </c>
      <c r="G29" s="5"/>
      <c r="H29" s="6"/>
      <c r="I29" s="5"/>
      <c r="J29" s="6"/>
      <c r="K29" s="5"/>
      <c r="L29" s="6"/>
      <c r="M29" s="5"/>
      <c r="N29" s="6"/>
      <c r="O29" s="5"/>
      <c r="P29" s="6"/>
      <c r="Q29" s="5"/>
      <c r="R29" s="6"/>
      <c r="S29" s="5"/>
      <c r="T29" s="6"/>
      <c r="U29" s="5"/>
      <c r="V29" s="6"/>
      <c r="W29" s="5"/>
      <c r="X29" s="6"/>
      <c r="Y29" s="5"/>
      <c r="Z29" s="6"/>
      <c r="AA29" s="28"/>
      <c r="AB29" s="6"/>
      <c r="AC29" s="28"/>
      <c r="AD29" s="6">
        <v>1</v>
      </c>
      <c r="AE29" s="28"/>
      <c r="AF29" s="6"/>
      <c r="AG29" s="5"/>
      <c r="AH29" s="6"/>
      <c r="AI29" s="5"/>
      <c r="AJ29" s="6"/>
      <c r="AK29" s="7"/>
      <c r="AL29" s="6"/>
      <c r="AM29" s="7"/>
      <c r="AN29" s="6"/>
      <c r="AO29" s="7"/>
      <c r="AP29" s="6"/>
      <c r="AQ29" s="7"/>
      <c r="AR29" s="6"/>
      <c r="AS29" s="4"/>
      <c r="AT29" s="4"/>
      <c r="AU29" s="4"/>
      <c r="AV29" s="4"/>
      <c r="AW29" s="4"/>
      <c r="AX29" s="3" t="s">
        <v>54</v>
      </c>
      <c r="AY29" s="3" t="s">
        <v>120</v>
      </c>
      <c r="AZ29" s="3" t="s">
        <v>56</v>
      </c>
    </row>
    <row r="30" spans="1:52" s="9" customFormat="1" x14ac:dyDescent="0.3">
      <c r="A30" s="23">
        <v>45740</v>
      </c>
      <c r="B30" s="24">
        <v>0.56736111111111109</v>
      </c>
      <c r="C30" s="25" t="s">
        <v>121</v>
      </c>
      <c r="D30" s="26">
        <v>41</v>
      </c>
      <c r="E30" s="27" t="s">
        <v>122</v>
      </c>
      <c r="F30" s="25" t="s">
        <v>123</v>
      </c>
      <c r="G30" s="5"/>
      <c r="H30" s="6"/>
      <c r="I30" s="5"/>
      <c r="J30" s="6"/>
      <c r="K30" s="5"/>
      <c r="L30" s="6"/>
      <c r="M30" s="5"/>
      <c r="N30" s="6"/>
      <c r="O30" s="5"/>
      <c r="P30" s="6"/>
      <c r="Q30" s="5"/>
      <c r="R30" s="6"/>
      <c r="S30" s="5"/>
      <c r="T30" s="6"/>
      <c r="U30" s="5"/>
      <c r="V30" s="6"/>
      <c r="W30" s="5"/>
      <c r="X30" s="6"/>
      <c r="Y30" s="5"/>
      <c r="Z30" s="6"/>
      <c r="AA30" s="28"/>
      <c r="AB30" s="6"/>
      <c r="AC30" s="28"/>
      <c r="AD30" s="6"/>
      <c r="AE30" s="28"/>
      <c r="AF30" s="6"/>
      <c r="AG30" s="5"/>
      <c r="AH30" s="6"/>
      <c r="AI30" s="5"/>
      <c r="AJ30" s="6"/>
      <c r="AK30" s="7"/>
      <c r="AL30" s="6"/>
      <c r="AM30" s="7"/>
      <c r="AN30" s="6"/>
      <c r="AO30" s="7"/>
      <c r="AP30" s="6"/>
      <c r="AQ30" s="7"/>
      <c r="AR30" s="6"/>
      <c r="AS30" s="4"/>
      <c r="AT30" s="4"/>
      <c r="AU30" s="4"/>
      <c r="AV30" s="4"/>
      <c r="AW30" s="4"/>
      <c r="AX30" s="3" t="s">
        <v>124</v>
      </c>
      <c r="AY30" s="3" t="s">
        <v>124</v>
      </c>
      <c r="AZ30" s="3" t="s">
        <v>125</v>
      </c>
    </row>
    <row r="31" spans="1:52" x14ac:dyDescent="0.3">
      <c r="A31" s="23">
        <v>45740</v>
      </c>
      <c r="B31" s="24">
        <v>0.58611111111111114</v>
      </c>
      <c r="C31" s="25" t="s">
        <v>126</v>
      </c>
      <c r="D31" s="26">
        <v>37</v>
      </c>
      <c r="E31" s="27" t="s">
        <v>127</v>
      </c>
      <c r="F31" s="25" t="s">
        <v>128</v>
      </c>
      <c r="AI31" s="31">
        <v>1</v>
      </c>
      <c r="AX31" s="25" t="s">
        <v>129</v>
      </c>
      <c r="AY31" s="25" t="s">
        <v>130</v>
      </c>
      <c r="AZ31" s="3" t="s">
        <v>56</v>
      </c>
    </row>
    <row r="32" spans="1:52" x14ac:dyDescent="0.3">
      <c r="A32" s="23">
        <v>45740</v>
      </c>
      <c r="B32" s="24">
        <v>0.64513888888888893</v>
      </c>
      <c r="C32" s="25" t="s">
        <v>131</v>
      </c>
      <c r="D32" s="26">
        <v>46</v>
      </c>
      <c r="E32" s="27" t="s">
        <v>132</v>
      </c>
      <c r="F32" s="25" t="s">
        <v>63</v>
      </c>
      <c r="AC32" s="33">
        <v>1</v>
      </c>
      <c r="AX32" s="3" t="s">
        <v>54</v>
      </c>
      <c r="AY32" s="25" t="s">
        <v>133</v>
      </c>
      <c r="AZ32" s="3" t="s">
        <v>56</v>
      </c>
    </row>
    <row r="33" spans="1:52" x14ac:dyDescent="0.3">
      <c r="A33" s="23">
        <v>45741</v>
      </c>
      <c r="B33" s="24">
        <v>0.65</v>
      </c>
      <c r="C33" s="25" t="s">
        <v>83</v>
      </c>
      <c r="D33" s="26">
        <v>29</v>
      </c>
      <c r="E33" s="25" t="s">
        <v>84</v>
      </c>
      <c r="F33" s="25" t="s">
        <v>59</v>
      </c>
      <c r="G33" s="31">
        <v>1</v>
      </c>
      <c r="AX33" s="3" t="s">
        <v>54</v>
      </c>
      <c r="AY33" s="25" t="s">
        <v>134</v>
      </c>
      <c r="AZ33" s="3" t="s">
        <v>56</v>
      </c>
    </row>
    <row r="34" spans="1:52" ht="170.1" customHeight="1" x14ac:dyDescent="0.3">
      <c r="A34" s="23">
        <v>45749</v>
      </c>
      <c r="B34" s="24">
        <v>0.43194444444444446</v>
      </c>
      <c r="C34" s="25" t="s">
        <v>135</v>
      </c>
      <c r="D34" s="26">
        <v>35</v>
      </c>
      <c r="E34" s="27" t="s">
        <v>136</v>
      </c>
      <c r="F34" s="25" t="s">
        <v>137</v>
      </c>
      <c r="AI34" s="31">
        <v>1</v>
      </c>
      <c r="AX34" s="25" t="s">
        <v>138</v>
      </c>
      <c r="AY34" s="25" t="s">
        <v>139</v>
      </c>
      <c r="AZ34" s="25" t="s">
        <v>140</v>
      </c>
    </row>
    <row r="35" spans="1:52" x14ac:dyDescent="0.3">
      <c r="A35" s="23">
        <v>45755</v>
      </c>
      <c r="B35" s="24">
        <v>0.56319444444444444</v>
      </c>
      <c r="C35" s="25" t="s">
        <v>73</v>
      </c>
      <c r="D35" s="26">
        <v>32</v>
      </c>
      <c r="E35" s="27" t="s">
        <v>74</v>
      </c>
      <c r="F35" s="25" t="s">
        <v>141</v>
      </c>
      <c r="AI35" s="31">
        <v>1</v>
      </c>
      <c r="AT35" s="26" t="s">
        <v>142</v>
      </c>
      <c r="AX35" s="25" t="s">
        <v>143</v>
      </c>
      <c r="AY35" s="25" t="s">
        <v>144</v>
      </c>
      <c r="AZ35" s="25" t="s">
        <v>56</v>
      </c>
    </row>
    <row r="36" spans="1:52" ht="27.6" x14ac:dyDescent="0.3">
      <c r="A36" s="23">
        <v>45755</v>
      </c>
      <c r="B36" s="24">
        <v>0.56319444444444444</v>
      </c>
      <c r="C36" s="25" t="s">
        <v>145</v>
      </c>
      <c r="D36" s="26">
        <v>49</v>
      </c>
      <c r="E36" s="35" t="s">
        <v>146</v>
      </c>
      <c r="F36" s="25" t="s">
        <v>59</v>
      </c>
      <c r="G36" s="31">
        <v>1</v>
      </c>
      <c r="AX36" s="25" t="s">
        <v>147</v>
      </c>
      <c r="AY36" s="25" t="s">
        <v>60</v>
      </c>
      <c r="AZ36" s="25" t="s">
        <v>56</v>
      </c>
    </row>
    <row r="37" spans="1:52" x14ac:dyDescent="0.3">
      <c r="A37" s="23">
        <v>45755</v>
      </c>
      <c r="B37" s="24">
        <v>0.61944444444444446</v>
      </c>
      <c r="C37" s="25" t="s">
        <v>121</v>
      </c>
      <c r="D37" s="26">
        <v>41</v>
      </c>
      <c r="E37" s="27" t="s">
        <v>122</v>
      </c>
      <c r="F37" s="25" t="s">
        <v>148</v>
      </c>
      <c r="U37" s="31">
        <v>1</v>
      </c>
      <c r="AX37" s="25" t="s">
        <v>54</v>
      </c>
      <c r="AY37" s="25" t="s">
        <v>149</v>
      </c>
      <c r="AZ37" s="25" t="s">
        <v>56</v>
      </c>
    </row>
    <row r="38" spans="1:52" x14ac:dyDescent="0.3">
      <c r="A38" s="23">
        <v>45755</v>
      </c>
      <c r="B38" s="24">
        <v>0.375</v>
      </c>
      <c r="C38" s="25" t="s">
        <v>78</v>
      </c>
      <c r="D38" s="26">
        <v>41</v>
      </c>
      <c r="E38" s="27" t="s">
        <v>79</v>
      </c>
      <c r="F38" s="25" t="s">
        <v>59</v>
      </c>
      <c r="AX38" s="25" t="s">
        <v>54</v>
      </c>
      <c r="AY38" s="25" t="s">
        <v>150</v>
      </c>
      <c r="AZ38" s="25" t="s">
        <v>56</v>
      </c>
    </row>
    <row r="39" spans="1:52" ht="27.6" x14ac:dyDescent="0.3">
      <c r="A39" s="23">
        <v>45755</v>
      </c>
      <c r="B39" s="24">
        <v>0.67500000000000004</v>
      </c>
      <c r="C39" s="25" t="s">
        <v>78</v>
      </c>
      <c r="D39" s="26">
        <v>41</v>
      </c>
      <c r="E39" s="27" t="s">
        <v>79</v>
      </c>
      <c r="F39" s="25" t="s">
        <v>59</v>
      </c>
      <c r="AX39" s="25" t="s">
        <v>54</v>
      </c>
      <c r="AY39" s="25" t="s">
        <v>151</v>
      </c>
      <c r="AZ39" s="25" t="s">
        <v>56</v>
      </c>
    </row>
    <row r="40" spans="1:52" ht="55.2" x14ac:dyDescent="0.3">
      <c r="A40" s="23">
        <v>45761</v>
      </c>
      <c r="B40" s="24">
        <v>0.33333333333333331</v>
      </c>
      <c r="C40" s="25" t="s">
        <v>152</v>
      </c>
      <c r="D40" s="26">
        <v>57</v>
      </c>
      <c r="E40" s="27" t="s">
        <v>153</v>
      </c>
      <c r="F40" s="25" t="s">
        <v>154</v>
      </c>
      <c r="AX40" s="25" t="s">
        <v>71</v>
      </c>
      <c r="AY40" s="25" t="s">
        <v>155</v>
      </c>
      <c r="AZ40" s="25" t="s">
        <v>56</v>
      </c>
    </row>
    <row r="41" spans="1:52" x14ac:dyDescent="0.3">
      <c r="A41" s="23">
        <v>45761</v>
      </c>
      <c r="B41" s="24">
        <v>0.6166666666666667</v>
      </c>
      <c r="C41" s="25" t="s">
        <v>135</v>
      </c>
      <c r="D41" s="26">
        <v>35</v>
      </c>
      <c r="E41" s="27" t="s">
        <v>156</v>
      </c>
      <c r="F41" s="25" t="s">
        <v>157</v>
      </c>
      <c r="AI41" s="31">
        <v>1</v>
      </c>
      <c r="AX41" s="25" t="s">
        <v>158</v>
      </c>
      <c r="AY41" s="25" t="s">
        <v>68</v>
      </c>
      <c r="AZ41" s="25" t="s">
        <v>56</v>
      </c>
    </row>
    <row r="42" spans="1:52" x14ac:dyDescent="0.3">
      <c r="A42" s="23">
        <v>45768</v>
      </c>
      <c r="B42" s="24">
        <v>0.58958333333333335</v>
      </c>
      <c r="C42" s="25" t="s">
        <v>159</v>
      </c>
      <c r="E42" s="27" t="s">
        <v>160</v>
      </c>
      <c r="F42" s="25" t="s">
        <v>30</v>
      </c>
      <c r="AD42" s="32">
        <v>1</v>
      </c>
      <c r="AX42" s="25" t="s">
        <v>54</v>
      </c>
      <c r="AY42" s="25" t="s">
        <v>75</v>
      </c>
      <c r="AZ42" s="25" t="s">
        <v>56</v>
      </c>
    </row>
    <row r="43" spans="1:52" x14ac:dyDescent="0.3">
      <c r="A43" s="23">
        <v>45769</v>
      </c>
      <c r="B43" s="24">
        <v>0.43402777777777779</v>
      </c>
      <c r="C43" s="25" t="s">
        <v>57</v>
      </c>
      <c r="D43" s="26">
        <v>33</v>
      </c>
      <c r="E43" s="27" t="s">
        <v>117</v>
      </c>
      <c r="F43" s="25" t="s">
        <v>59</v>
      </c>
      <c r="G43" s="31">
        <v>1</v>
      </c>
      <c r="AX43" s="25" t="s">
        <v>54</v>
      </c>
      <c r="AY43" s="25" t="s">
        <v>161</v>
      </c>
      <c r="AZ43" s="25" t="s">
        <v>56</v>
      </c>
    </row>
    <row r="44" spans="1:52" ht="27.6" x14ac:dyDescent="0.3">
      <c r="A44" s="23">
        <v>45771</v>
      </c>
      <c r="B44" s="24">
        <v>0.37638888888888888</v>
      </c>
      <c r="C44" s="25" t="s">
        <v>162</v>
      </c>
      <c r="D44" s="26">
        <v>48</v>
      </c>
      <c r="E44" s="29" t="s">
        <v>163</v>
      </c>
      <c r="F44" s="25" t="s">
        <v>30</v>
      </c>
      <c r="AD44" s="32">
        <v>1</v>
      </c>
      <c r="AX44" s="25" t="s">
        <v>54</v>
      </c>
      <c r="AY44" s="25" t="s">
        <v>75</v>
      </c>
      <c r="AZ44" s="25" t="s">
        <v>56</v>
      </c>
    </row>
    <row r="45" spans="1:52" ht="27.6" x14ac:dyDescent="0.3">
      <c r="A45" s="23">
        <v>45771</v>
      </c>
      <c r="B45" s="24">
        <v>0.55208333333333337</v>
      </c>
      <c r="C45" s="25" t="s">
        <v>57</v>
      </c>
      <c r="D45" s="26">
        <v>33</v>
      </c>
      <c r="E45" s="27" t="s">
        <v>117</v>
      </c>
      <c r="F45" s="25" t="s">
        <v>164</v>
      </c>
      <c r="H45" s="32">
        <v>1</v>
      </c>
      <c r="AX45" s="25" t="s">
        <v>54</v>
      </c>
      <c r="AY45" s="25" t="s">
        <v>165</v>
      </c>
      <c r="AZ45" s="25" t="s">
        <v>56</v>
      </c>
    </row>
    <row r="46" spans="1:52" x14ac:dyDescent="0.3">
      <c r="A46" s="23">
        <v>45771</v>
      </c>
      <c r="B46" s="24">
        <v>0.55694444444444446</v>
      </c>
      <c r="C46" s="9" t="s">
        <v>166</v>
      </c>
      <c r="D46" s="26">
        <v>41</v>
      </c>
      <c r="E46" s="36" t="s">
        <v>167</v>
      </c>
      <c r="F46" s="25" t="s">
        <v>168</v>
      </c>
      <c r="AD46" s="32">
        <v>1</v>
      </c>
      <c r="AX46" s="25" t="s">
        <v>54</v>
      </c>
      <c r="AY46" s="25" t="s">
        <v>75</v>
      </c>
      <c r="AZ46" s="25" t="s">
        <v>56</v>
      </c>
    </row>
    <row r="47" spans="1:52" ht="27.6" x14ac:dyDescent="0.3">
      <c r="A47" s="23">
        <v>45772</v>
      </c>
      <c r="B47" s="24">
        <v>0.40972222222222221</v>
      </c>
      <c r="C47" s="25" t="s">
        <v>145</v>
      </c>
      <c r="D47" s="26">
        <v>49</v>
      </c>
      <c r="E47" s="35" t="s">
        <v>146</v>
      </c>
      <c r="F47" s="25" t="s">
        <v>169</v>
      </c>
      <c r="AQ47" s="34">
        <v>1</v>
      </c>
      <c r="AX47" s="25" t="s">
        <v>170</v>
      </c>
      <c r="AY47" s="25" t="s">
        <v>171</v>
      </c>
      <c r="AZ47" s="25" t="s">
        <v>56</v>
      </c>
    </row>
    <row r="48" spans="1:52" x14ac:dyDescent="0.3">
      <c r="A48" s="23">
        <v>45776</v>
      </c>
      <c r="B48" s="24">
        <v>0.45763888888888887</v>
      </c>
      <c r="C48" s="25" t="s">
        <v>80</v>
      </c>
      <c r="D48" s="26">
        <v>50</v>
      </c>
      <c r="E48" s="27" t="s">
        <v>81</v>
      </c>
      <c r="F48" s="25" t="s">
        <v>172</v>
      </c>
      <c r="AG48" s="31">
        <v>1</v>
      </c>
      <c r="AX48" s="25" t="s">
        <v>54</v>
      </c>
      <c r="AY48" s="25" t="s">
        <v>173</v>
      </c>
      <c r="AZ48" s="25" t="s">
        <v>56</v>
      </c>
    </row>
    <row r="49" spans="1:52" ht="41.4" x14ac:dyDescent="0.3">
      <c r="A49" s="23">
        <v>45776</v>
      </c>
      <c r="B49" s="24">
        <v>0.60486111111111107</v>
      </c>
      <c r="C49" s="30" t="s">
        <v>73</v>
      </c>
      <c r="D49" s="26">
        <v>32</v>
      </c>
      <c r="E49" s="27" t="s">
        <v>74</v>
      </c>
      <c r="F49" s="25" t="s">
        <v>174</v>
      </c>
      <c r="AI49" s="31">
        <v>1</v>
      </c>
      <c r="AX49" s="25" t="s">
        <v>71</v>
      </c>
      <c r="AY49" s="25" t="s">
        <v>175</v>
      </c>
      <c r="AZ49" s="25" t="s">
        <v>56</v>
      </c>
    </row>
    <row r="50" spans="1:52" ht="41.4" x14ac:dyDescent="0.3">
      <c r="A50" s="23">
        <v>45777</v>
      </c>
      <c r="B50" s="24">
        <v>0.625</v>
      </c>
      <c r="C50" s="25" t="s">
        <v>176</v>
      </c>
      <c r="D50" s="26">
        <v>55</v>
      </c>
      <c r="E50" s="27" t="s">
        <v>177</v>
      </c>
      <c r="F50" s="25" t="s">
        <v>178</v>
      </c>
      <c r="AI50" s="31">
        <v>1</v>
      </c>
      <c r="AX50" s="25" t="s">
        <v>179</v>
      </c>
      <c r="AY50" s="25" t="s">
        <v>180</v>
      </c>
      <c r="AZ50" s="25" t="s">
        <v>56</v>
      </c>
    </row>
    <row r="51" spans="1:52" ht="27.6" x14ac:dyDescent="0.3">
      <c r="A51" s="23">
        <v>45777</v>
      </c>
      <c r="B51" s="24">
        <v>0.6645833333333333</v>
      </c>
      <c r="C51" s="25" t="s">
        <v>145</v>
      </c>
      <c r="D51" s="26">
        <v>49</v>
      </c>
      <c r="E51" s="35" t="s">
        <v>146</v>
      </c>
      <c r="F51" s="25" t="s">
        <v>30</v>
      </c>
      <c r="AD51" s="32">
        <v>1</v>
      </c>
      <c r="AX51" s="25" t="s">
        <v>54</v>
      </c>
      <c r="AY51" s="25" t="s">
        <v>173</v>
      </c>
      <c r="AZ51" s="25" t="s">
        <v>56</v>
      </c>
    </row>
    <row r="52" spans="1:52" x14ac:dyDescent="0.3">
      <c r="A52" s="23">
        <v>45783</v>
      </c>
      <c r="B52" s="24">
        <v>0.38055555555555554</v>
      </c>
      <c r="C52" s="25" t="s">
        <v>131</v>
      </c>
      <c r="D52" s="26">
        <v>46</v>
      </c>
      <c r="E52" s="27" t="s">
        <v>132</v>
      </c>
      <c r="F52" s="25" t="s">
        <v>63</v>
      </c>
      <c r="R52" s="32">
        <v>1</v>
      </c>
      <c r="AX52" s="25" t="s">
        <v>54</v>
      </c>
      <c r="AY52" s="25" t="s">
        <v>181</v>
      </c>
      <c r="AZ52" s="25" t="s">
        <v>56</v>
      </c>
    </row>
    <row r="53" spans="1:52" x14ac:dyDescent="0.3">
      <c r="A53" s="23">
        <v>45783</v>
      </c>
      <c r="B53" s="24">
        <v>0.38055555555555554</v>
      </c>
      <c r="C53" s="30" t="s">
        <v>76</v>
      </c>
      <c r="D53" s="26">
        <v>32</v>
      </c>
      <c r="E53" s="27" t="s">
        <v>77</v>
      </c>
      <c r="F53" s="25" t="s">
        <v>30</v>
      </c>
      <c r="AD53" s="32">
        <v>1</v>
      </c>
      <c r="AX53" s="25" t="s">
        <v>54</v>
      </c>
      <c r="AY53" s="25" t="s">
        <v>173</v>
      </c>
      <c r="AZ53" s="25" t="s">
        <v>56</v>
      </c>
    </row>
    <row r="54" spans="1:52" ht="41.4" x14ac:dyDescent="0.3">
      <c r="A54" s="23">
        <v>45786</v>
      </c>
      <c r="B54" s="24">
        <v>0.41388888888888886</v>
      </c>
      <c r="C54" s="25" t="s">
        <v>182</v>
      </c>
      <c r="D54" s="26">
        <v>54</v>
      </c>
      <c r="E54" s="25" t="s">
        <v>183</v>
      </c>
      <c r="F54" s="25" t="s">
        <v>63</v>
      </c>
      <c r="AC54" s="33">
        <v>1</v>
      </c>
      <c r="AX54" s="25" t="s">
        <v>54</v>
      </c>
      <c r="AY54" s="25" t="s">
        <v>184</v>
      </c>
      <c r="AZ54" s="25" t="s">
        <v>56</v>
      </c>
    </row>
    <row r="55" spans="1:52" x14ac:dyDescent="0.3">
      <c r="A55" s="23">
        <v>45790</v>
      </c>
      <c r="B55" s="24">
        <v>0.37638888888888888</v>
      </c>
      <c r="C55" s="30" t="s">
        <v>115</v>
      </c>
      <c r="D55" s="26">
        <v>26</v>
      </c>
      <c r="E55" s="27" t="s">
        <v>116</v>
      </c>
      <c r="F55" s="25" t="s">
        <v>59</v>
      </c>
      <c r="G55" s="31">
        <v>1</v>
      </c>
      <c r="AX55" s="25" t="s">
        <v>54</v>
      </c>
      <c r="AY55" s="25" t="s">
        <v>60</v>
      </c>
      <c r="AZ55" s="25" t="s">
        <v>56</v>
      </c>
    </row>
    <row r="56" spans="1:52" ht="27.6" x14ac:dyDescent="0.3">
      <c r="A56" s="23">
        <v>45790</v>
      </c>
      <c r="B56" s="24">
        <v>0.66527777777777775</v>
      </c>
      <c r="C56" s="25" t="s">
        <v>185</v>
      </c>
      <c r="D56" s="26">
        <v>44</v>
      </c>
      <c r="E56" s="27" t="s">
        <v>186</v>
      </c>
      <c r="F56" s="25" t="s">
        <v>187</v>
      </c>
      <c r="H56" s="32">
        <v>1</v>
      </c>
      <c r="AT56" s="26" t="s">
        <v>188</v>
      </c>
      <c r="AU56" s="26">
        <v>81</v>
      </c>
      <c r="AW56" s="26">
        <v>99</v>
      </c>
      <c r="AX56" s="25" t="s">
        <v>189</v>
      </c>
      <c r="AY56" s="25" t="s">
        <v>190</v>
      </c>
      <c r="AZ56" s="25" t="s">
        <v>191</v>
      </c>
    </row>
    <row r="57" spans="1:52" x14ac:dyDescent="0.3">
      <c r="A57" s="23">
        <v>45790</v>
      </c>
      <c r="B57" s="24">
        <v>0.60486111111111107</v>
      </c>
      <c r="C57" s="25" t="s">
        <v>80</v>
      </c>
      <c r="D57" s="26">
        <v>50</v>
      </c>
      <c r="E57" s="27" t="s">
        <v>81</v>
      </c>
      <c r="F57" s="25" t="s">
        <v>30</v>
      </c>
      <c r="AD57" s="32">
        <v>1</v>
      </c>
      <c r="AX57" s="25" t="s">
        <v>54</v>
      </c>
      <c r="AY57" s="25" t="s">
        <v>173</v>
      </c>
      <c r="AZ57" s="25" t="s">
        <v>56</v>
      </c>
    </row>
    <row r="58" spans="1:52" x14ac:dyDescent="0.3">
      <c r="A58" s="23">
        <v>45796</v>
      </c>
      <c r="B58" s="24">
        <v>0.37222222222222223</v>
      </c>
      <c r="C58" s="25" t="s">
        <v>192</v>
      </c>
      <c r="D58" s="26">
        <v>45</v>
      </c>
      <c r="E58" s="27" t="s">
        <v>193</v>
      </c>
      <c r="F58" s="25" t="s">
        <v>194</v>
      </c>
      <c r="AG58" s="31">
        <v>1</v>
      </c>
      <c r="AX58" s="25" t="s">
        <v>54</v>
      </c>
      <c r="AY58" s="25" t="s">
        <v>195</v>
      </c>
      <c r="AZ58" s="25" t="s">
        <v>56</v>
      </c>
    </row>
    <row r="59" spans="1:52" x14ac:dyDescent="0.3">
      <c r="A59" s="23">
        <v>45797</v>
      </c>
      <c r="B59" s="24">
        <v>0.54791666666666672</v>
      </c>
      <c r="C59" s="25" t="s">
        <v>196</v>
      </c>
      <c r="D59" s="26">
        <v>49</v>
      </c>
      <c r="E59" s="27" t="s">
        <v>197</v>
      </c>
      <c r="F59" s="25" t="s">
        <v>30</v>
      </c>
      <c r="AD59" s="32">
        <v>1</v>
      </c>
      <c r="AX59" s="25" t="s">
        <v>54</v>
      </c>
      <c r="AY59" s="25" t="s">
        <v>173</v>
      </c>
      <c r="AZ59" s="25" t="s">
        <v>56</v>
      </c>
    </row>
    <row r="60" spans="1:52" x14ac:dyDescent="0.3">
      <c r="A60" s="23">
        <v>45803</v>
      </c>
      <c r="B60" s="24">
        <v>0.65208333333333335</v>
      </c>
      <c r="C60" s="25" t="s">
        <v>198</v>
      </c>
      <c r="D60" s="26">
        <v>36</v>
      </c>
      <c r="E60" s="27" t="s">
        <v>199</v>
      </c>
      <c r="F60" s="25" t="s">
        <v>200</v>
      </c>
      <c r="AK60" s="34">
        <v>1</v>
      </c>
      <c r="AX60" s="25" t="s">
        <v>54</v>
      </c>
      <c r="AY60" s="25" t="s">
        <v>173</v>
      </c>
      <c r="AZ60" s="25" t="s">
        <v>56</v>
      </c>
    </row>
    <row r="61" spans="1:52" x14ac:dyDescent="0.3">
      <c r="A61" s="23">
        <v>45804</v>
      </c>
      <c r="B61" s="24">
        <v>0.36458333333333331</v>
      </c>
      <c r="C61" s="25" t="s">
        <v>201</v>
      </c>
      <c r="D61" s="26">
        <v>24</v>
      </c>
      <c r="E61" s="29" t="s">
        <v>202</v>
      </c>
      <c r="F61" s="25" t="s">
        <v>30</v>
      </c>
      <c r="AD61" s="32">
        <v>1</v>
      </c>
      <c r="AX61" s="25" t="s">
        <v>54</v>
      </c>
      <c r="AY61" s="25" t="s">
        <v>173</v>
      </c>
      <c r="AZ61" s="25" t="s">
        <v>56</v>
      </c>
    </row>
    <row r="62" spans="1:52" x14ac:dyDescent="0.3">
      <c r="A62" s="23">
        <v>45805</v>
      </c>
      <c r="B62" s="24">
        <v>0.6694444444444444</v>
      </c>
      <c r="C62" s="25" t="s">
        <v>182</v>
      </c>
      <c r="D62" s="26">
        <v>54</v>
      </c>
      <c r="E62" s="25" t="s">
        <v>183</v>
      </c>
      <c r="F62" s="25" t="s">
        <v>15</v>
      </c>
      <c r="O62" s="31">
        <v>1</v>
      </c>
      <c r="AX62" s="25" t="s">
        <v>54</v>
      </c>
      <c r="AY62" s="25" t="s">
        <v>173</v>
      </c>
      <c r="AZ62" s="25" t="s">
        <v>56</v>
      </c>
    </row>
    <row r="63" spans="1:52" x14ac:dyDescent="0.3">
      <c r="A63" s="23">
        <v>45807</v>
      </c>
      <c r="B63" s="24">
        <v>0.41597222222222224</v>
      </c>
      <c r="C63" s="25" t="s">
        <v>115</v>
      </c>
      <c r="D63" s="26">
        <v>26</v>
      </c>
      <c r="E63" s="27" t="s">
        <v>116</v>
      </c>
      <c r="F63" s="25" t="s">
        <v>203</v>
      </c>
      <c r="U63" s="31">
        <v>1</v>
      </c>
      <c r="AX63" s="25" t="s">
        <v>54</v>
      </c>
      <c r="AY63" s="25" t="s">
        <v>204</v>
      </c>
      <c r="AZ63" s="25" t="s">
        <v>56</v>
      </c>
    </row>
    <row r="64" spans="1:52" x14ac:dyDescent="0.3">
      <c r="A64" s="23">
        <v>45810</v>
      </c>
      <c r="B64" s="24">
        <v>0.67083333333333328</v>
      </c>
      <c r="C64" s="25" t="s">
        <v>131</v>
      </c>
      <c r="D64" s="26">
        <v>46</v>
      </c>
      <c r="E64" s="29" t="s">
        <v>132</v>
      </c>
      <c r="F64" s="25" t="s">
        <v>205</v>
      </c>
      <c r="S64" s="31">
        <v>1</v>
      </c>
      <c r="AT64" s="26" t="s">
        <v>206</v>
      </c>
      <c r="AV64" s="26">
        <v>70</v>
      </c>
      <c r="AW64" s="26">
        <v>99</v>
      </c>
      <c r="AX64" s="25" t="s">
        <v>207</v>
      </c>
      <c r="AY64" s="25" t="s">
        <v>208</v>
      </c>
    </row>
    <row r="65" spans="1:52" x14ac:dyDescent="0.3">
      <c r="A65" s="23">
        <v>45806</v>
      </c>
      <c r="B65" s="24">
        <v>0.375</v>
      </c>
      <c r="C65" s="25" t="s">
        <v>192</v>
      </c>
      <c r="D65" s="26">
        <v>45</v>
      </c>
      <c r="E65" s="27" t="s">
        <v>193</v>
      </c>
      <c r="F65" s="25" t="s">
        <v>194</v>
      </c>
      <c r="AI65" s="31">
        <v>1</v>
      </c>
      <c r="AX65" s="25" t="s">
        <v>54</v>
      </c>
      <c r="AY65" s="25" t="s">
        <v>209</v>
      </c>
      <c r="AZ65" s="25" t="s">
        <v>56</v>
      </c>
    </row>
    <row r="66" spans="1:52" x14ac:dyDescent="0.3">
      <c r="A66" s="23">
        <v>45817</v>
      </c>
      <c r="B66" s="24">
        <v>0.44027777777777777</v>
      </c>
      <c r="C66" s="25" t="s">
        <v>210</v>
      </c>
      <c r="D66" s="26">
        <v>33</v>
      </c>
      <c r="E66" s="27" t="s">
        <v>211</v>
      </c>
      <c r="F66" s="25" t="s">
        <v>11</v>
      </c>
      <c r="K66" s="31">
        <v>1</v>
      </c>
      <c r="AX66" s="25" t="s">
        <v>54</v>
      </c>
      <c r="AY66" s="25" t="s">
        <v>212</v>
      </c>
      <c r="AZ66" s="25" t="s">
        <v>56</v>
      </c>
    </row>
    <row r="67" spans="1:52" x14ac:dyDescent="0.3">
      <c r="A67" s="23">
        <v>45825</v>
      </c>
      <c r="B67" s="24">
        <v>0.33958333333333335</v>
      </c>
      <c r="C67" s="25" t="s">
        <v>192</v>
      </c>
      <c r="D67" s="26">
        <v>45</v>
      </c>
      <c r="E67" s="27" t="s">
        <v>193</v>
      </c>
      <c r="F67" s="25" t="s">
        <v>194</v>
      </c>
      <c r="AG67" s="31">
        <v>1</v>
      </c>
      <c r="AX67" s="25" t="s">
        <v>213</v>
      </c>
      <c r="AY67" s="25" t="s">
        <v>214</v>
      </c>
      <c r="AZ67" s="25" t="s">
        <v>56</v>
      </c>
    </row>
    <row r="68" spans="1:52" x14ac:dyDescent="0.3">
      <c r="A68" s="23">
        <v>45826</v>
      </c>
      <c r="B68" s="24">
        <v>0.39097222222222222</v>
      </c>
      <c r="C68" s="25" t="s">
        <v>61</v>
      </c>
      <c r="D68" s="26">
        <v>31</v>
      </c>
      <c r="E68" s="29" t="s">
        <v>62</v>
      </c>
      <c r="F68" s="25" t="s">
        <v>215</v>
      </c>
      <c r="K68" s="31">
        <v>1</v>
      </c>
      <c r="AX68" s="25" t="s">
        <v>54</v>
      </c>
      <c r="AY68" s="25" t="s">
        <v>216</v>
      </c>
      <c r="AZ68" s="25" t="s">
        <v>56</v>
      </c>
    </row>
    <row r="69" spans="1:52" x14ac:dyDescent="0.3">
      <c r="A69" s="23">
        <v>45834</v>
      </c>
      <c r="B69" s="24">
        <v>0.67291666666666672</v>
      </c>
      <c r="C69" s="25" t="s">
        <v>210</v>
      </c>
      <c r="D69" s="26">
        <v>33</v>
      </c>
      <c r="E69" s="27" t="s">
        <v>211</v>
      </c>
      <c r="F69" s="25" t="s">
        <v>217</v>
      </c>
      <c r="AI69" s="31">
        <v>1</v>
      </c>
      <c r="AX69" s="25" t="s">
        <v>218</v>
      </c>
      <c r="AY69" s="25" t="s">
        <v>219</v>
      </c>
      <c r="AZ69" s="25" t="s">
        <v>56</v>
      </c>
    </row>
    <row r="70" spans="1:52" x14ac:dyDescent="0.3">
      <c r="A70" s="23">
        <v>45835</v>
      </c>
      <c r="B70" s="24">
        <v>0.54236111111111107</v>
      </c>
      <c r="C70" s="25" t="s">
        <v>220</v>
      </c>
      <c r="D70" s="26">
        <v>33</v>
      </c>
      <c r="E70" s="27" t="s">
        <v>221</v>
      </c>
      <c r="F70" s="25" t="s">
        <v>30</v>
      </c>
      <c r="AD70" s="32">
        <v>1</v>
      </c>
      <c r="AX70" s="25" t="s">
        <v>54</v>
      </c>
      <c r="AY70" s="25" t="s">
        <v>75</v>
      </c>
      <c r="AZ70" s="25" t="s">
        <v>56</v>
      </c>
    </row>
    <row r="71" spans="1:52" x14ac:dyDescent="0.3">
      <c r="A71" s="23">
        <v>45840</v>
      </c>
      <c r="B71" s="24">
        <v>0.54374999999999996</v>
      </c>
      <c r="C71" s="25" t="s">
        <v>220</v>
      </c>
      <c r="D71" s="26">
        <v>33</v>
      </c>
      <c r="E71" s="27" t="s">
        <v>221</v>
      </c>
      <c r="F71" s="25" t="s">
        <v>30</v>
      </c>
      <c r="AD71" s="32">
        <v>1</v>
      </c>
      <c r="AX71" s="25" t="s">
        <v>54</v>
      </c>
      <c r="AY71" s="25" t="s">
        <v>75</v>
      </c>
      <c r="AZ71" s="25" t="s">
        <v>56</v>
      </c>
    </row>
    <row r="72" spans="1:52" x14ac:dyDescent="0.3">
      <c r="A72" s="23">
        <v>45841</v>
      </c>
      <c r="B72" s="24">
        <v>0.55972222222222223</v>
      </c>
      <c r="C72" s="25" t="s">
        <v>210</v>
      </c>
      <c r="D72" s="26">
        <v>33</v>
      </c>
      <c r="E72" s="27" t="s">
        <v>211</v>
      </c>
      <c r="F72" s="25" t="s">
        <v>15</v>
      </c>
      <c r="O72" s="31">
        <v>1</v>
      </c>
      <c r="AX72" s="25" t="s">
        <v>54</v>
      </c>
      <c r="AY72" s="25" t="s">
        <v>100</v>
      </c>
      <c r="AZ72" s="25" t="s">
        <v>56</v>
      </c>
    </row>
    <row r="73" spans="1:52" x14ac:dyDescent="0.3">
      <c r="A73" s="23">
        <v>45841</v>
      </c>
      <c r="B73" s="24">
        <v>0.60624999999999996</v>
      </c>
      <c r="C73" s="25" t="s">
        <v>222</v>
      </c>
      <c r="D73" s="26">
        <v>26</v>
      </c>
      <c r="E73" s="27" t="s">
        <v>223</v>
      </c>
      <c r="F73" s="25" t="s">
        <v>15</v>
      </c>
      <c r="O73" s="31">
        <v>1</v>
      </c>
      <c r="AX73" s="25" t="s">
        <v>54</v>
      </c>
      <c r="AY73" s="25" t="s">
        <v>114</v>
      </c>
      <c r="AZ73" s="25" t="s">
        <v>56</v>
      </c>
    </row>
    <row r="74" spans="1:52" x14ac:dyDescent="0.3">
      <c r="A74" s="23">
        <v>45845</v>
      </c>
      <c r="B74" s="24">
        <v>0.43819444444444444</v>
      </c>
      <c r="C74" s="25" t="s">
        <v>57</v>
      </c>
      <c r="D74" s="26">
        <v>30</v>
      </c>
      <c r="E74" s="27" t="s">
        <v>58</v>
      </c>
      <c r="F74" s="25" t="s">
        <v>59</v>
      </c>
      <c r="G74" s="31">
        <v>1</v>
      </c>
      <c r="AX74" s="25" t="s">
        <v>54</v>
      </c>
      <c r="AY74" s="25" t="s">
        <v>60</v>
      </c>
      <c r="AZ74" s="25" t="s">
        <v>56</v>
      </c>
    </row>
    <row r="75" spans="1:52" x14ac:dyDescent="0.3">
      <c r="A75" s="23">
        <v>45845</v>
      </c>
      <c r="B75" s="24">
        <v>0.43819444444444444</v>
      </c>
      <c r="C75" s="25" t="s">
        <v>224</v>
      </c>
      <c r="D75" s="26">
        <v>35</v>
      </c>
      <c r="E75" s="27" t="s">
        <v>225</v>
      </c>
      <c r="F75" s="25" t="s">
        <v>15</v>
      </c>
      <c r="O75" s="31">
        <v>1</v>
      </c>
      <c r="AX75" s="25" t="s">
        <v>54</v>
      </c>
      <c r="AY75" s="25" t="s">
        <v>82</v>
      </c>
      <c r="AZ75" s="25" t="s">
        <v>56</v>
      </c>
    </row>
    <row r="76" spans="1:52" ht="27.6" x14ac:dyDescent="0.3">
      <c r="A76" s="23">
        <v>45845</v>
      </c>
      <c r="B76" s="24">
        <v>0.45</v>
      </c>
      <c r="C76" s="25" t="s">
        <v>90</v>
      </c>
      <c r="D76" s="26">
        <v>34</v>
      </c>
      <c r="E76" s="27" t="s">
        <v>225</v>
      </c>
      <c r="F76" s="25" t="s">
        <v>63</v>
      </c>
      <c r="O76" s="31">
        <v>1</v>
      </c>
      <c r="AX76" s="25" t="s">
        <v>54</v>
      </c>
      <c r="AY76" s="25" t="s">
        <v>226</v>
      </c>
      <c r="AZ76" s="25" t="s">
        <v>56</v>
      </c>
    </row>
    <row r="77" spans="1:52" x14ac:dyDescent="0.3">
      <c r="A77" s="23">
        <v>45846</v>
      </c>
      <c r="B77" s="24">
        <v>0.61736111111111114</v>
      </c>
      <c r="C77" s="25" t="s">
        <v>80</v>
      </c>
      <c r="D77" s="26">
        <v>50</v>
      </c>
      <c r="E77" s="27" t="s">
        <v>81</v>
      </c>
      <c r="F77" s="25" t="s">
        <v>15</v>
      </c>
      <c r="O77" s="31">
        <v>1</v>
      </c>
      <c r="AX77" s="25" t="s">
        <v>54</v>
      </c>
      <c r="AY77" s="25" t="s">
        <v>114</v>
      </c>
      <c r="AZ77" s="25" t="s">
        <v>56</v>
      </c>
    </row>
    <row r="78" spans="1:52" x14ac:dyDescent="0.3">
      <c r="A78" s="23">
        <v>45846</v>
      </c>
      <c r="B78" s="24">
        <v>0.40625</v>
      </c>
      <c r="C78" s="30" t="s">
        <v>76</v>
      </c>
      <c r="D78" s="26">
        <v>32</v>
      </c>
      <c r="E78" s="27" t="s">
        <v>77</v>
      </c>
      <c r="F78" s="25" t="s">
        <v>59</v>
      </c>
      <c r="G78" s="31">
        <v>1</v>
      </c>
      <c r="AX78" s="25" t="s">
        <v>54</v>
      </c>
      <c r="AY78" s="25" t="s">
        <v>161</v>
      </c>
      <c r="AZ78" s="25" t="s">
        <v>56</v>
      </c>
    </row>
    <row r="79" spans="1:52" x14ac:dyDescent="0.3">
      <c r="A79" s="23">
        <v>45848</v>
      </c>
      <c r="B79" s="24">
        <v>0.6166666666666667</v>
      </c>
      <c r="C79" s="25" t="s">
        <v>210</v>
      </c>
      <c r="D79" s="26">
        <v>33</v>
      </c>
      <c r="E79" s="27" t="s">
        <v>211</v>
      </c>
      <c r="F79" s="25" t="s">
        <v>11</v>
      </c>
      <c r="K79" s="31">
        <v>1</v>
      </c>
      <c r="AX79" s="25" t="s">
        <v>54</v>
      </c>
      <c r="AY79" s="25" t="s">
        <v>212</v>
      </c>
      <c r="AZ79" s="25" t="s">
        <v>56</v>
      </c>
    </row>
    <row r="80" spans="1:52" x14ac:dyDescent="0.3">
      <c r="A80" s="23">
        <v>45849</v>
      </c>
      <c r="B80" s="24">
        <v>0.39930555555555558</v>
      </c>
      <c r="C80" s="25" t="s">
        <v>210</v>
      </c>
      <c r="D80" s="26">
        <v>33</v>
      </c>
      <c r="E80" s="27" t="s">
        <v>211</v>
      </c>
      <c r="F80" s="25" t="s">
        <v>11</v>
      </c>
      <c r="K80" s="31">
        <v>1</v>
      </c>
      <c r="AX80" s="25" t="s">
        <v>54</v>
      </c>
      <c r="AY80" s="25" t="s">
        <v>227</v>
      </c>
      <c r="AZ80" s="25" t="s">
        <v>56</v>
      </c>
    </row>
    <row r="81" spans="1:52" x14ac:dyDescent="0.3">
      <c r="A81" s="23">
        <v>45849</v>
      </c>
      <c r="B81" s="24">
        <v>0.58194444444444449</v>
      </c>
      <c r="C81" s="25" t="s">
        <v>83</v>
      </c>
      <c r="D81" s="26">
        <v>29</v>
      </c>
      <c r="E81" s="25" t="s">
        <v>84</v>
      </c>
      <c r="F81" s="25" t="s">
        <v>30</v>
      </c>
      <c r="AD81" s="32">
        <v>1</v>
      </c>
      <c r="AX81" s="25" t="s">
        <v>54</v>
      </c>
      <c r="AY81" s="25" t="s">
        <v>120</v>
      </c>
      <c r="AZ81" s="25" t="s">
        <v>56</v>
      </c>
    </row>
    <row r="82" spans="1:52" x14ac:dyDescent="0.3">
      <c r="A82" s="23">
        <v>45854</v>
      </c>
      <c r="B82" s="24">
        <v>0.58472222222222225</v>
      </c>
      <c r="C82" s="25" t="s">
        <v>228</v>
      </c>
      <c r="D82" s="26">
        <v>52</v>
      </c>
      <c r="E82" s="27" t="s">
        <v>229</v>
      </c>
      <c r="F82" s="25" t="s">
        <v>230</v>
      </c>
      <c r="AU82" s="26">
        <v>100</v>
      </c>
      <c r="AW82" s="26">
        <v>97</v>
      </c>
      <c r="AX82" s="25" t="s">
        <v>54</v>
      </c>
      <c r="AY82" s="25" t="s">
        <v>231</v>
      </c>
      <c r="AZ82" s="25" t="s">
        <v>56</v>
      </c>
    </row>
    <row r="83" spans="1:52" ht="41.4" x14ac:dyDescent="0.3">
      <c r="A83" s="23">
        <v>45854</v>
      </c>
      <c r="B83" s="24">
        <v>0.63124999999999998</v>
      </c>
      <c r="C83" s="30" t="s">
        <v>73</v>
      </c>
      <c r="D83" s="26">
        <v>32</v>
      </c>
      <c r="E83" s="27" t="s">
        <v>74</v>
      </c>
      <c r="F83" s="25" t="s">
        <v>232</v>
      </c>
      <c r="AI83" s="31">
        <v>1</v>
      </c>
      <c r="AX83" s="25" t="s">
        <v>180</v>
      </c>
      <c r="AY83" s="25" t="s">
        <v>180</v>
      </c>
      <c r="AZ83" s="25" t="s">
        <v>233</v>
      </c>
    </row>
    <row r="84" spans="1:52" x14ac:dyDescent="0.3">
      <c r="A84" s="23">
        <v>45859</v>
      </c>
      <c r="B84" s="24">
        <v>0.36180555555555555</v>
      </c>
      <c r="C84" s="23" t="s">
        <v>234</v>
      </c>
      <c r="D84" s="37">
        <v>41</v>
      </c>
      <c r="E84" s="38" t="s">
        <v>235</v>
      </c>
      <c r="F84" s="25" t="s">
        <v>236</v>
      </c>
      <c r="AP84" s="32">
        <v>1</v>
      </c>
      <c r="AX84" s="25" t="s">
        <v>237</v>
      </c>
      <c r="AY84" s="25" t="s">
        <v>238</v>
      </c>
      <c r="AZ84" s="25" t="s">
        <v>239</v>
      </c>
    </row>
    <row r="85" spans="1:52" x14ac:dyDescent="0.3">
      <c r="A85" s="23">
        <v>45859</v>
      </c>
      <c r="B85" s="24">
        <v>0.54513888888888884</v>
      </c>
      <c r="C85" s="25" t="s">
        <v>210</v>
      </c>
      <c r="D85" s="26">
        <v>33</v>
      </c>
      <c r="E85" s="27" t="s">
        <v>211</v>
      </c>
      <c r="F85" s="25" t="s">
        <v>240</v>
      </c>
      <c r="R85" s="32">
        <v>1</v>
      </c>
      <c r="AX85" s="25" t="s">
        <v>54</v>
      </c>
      <c r="AY85" s="25" t="s">
        <v>241</v>
      </c>
      <c r="AZ85" s="25" t="s">
        <v>56</v>
      </c>
    </row>
    <row r="86" spans="1:52" x14ac:dyDescent="0.3">
      <c r="A86" s="23">
        <v>45859</v>
      </c>
      <c r="B86" s="24">
        <v>0.59375</v>
      </c>
      <c r="C86" s="25" t="s">
        <v>210</v>
      </c>
      <c r="D86" s="26">
        <v>33</v>
      </c>
      <c r="E86" s="27" t="s">
        <v>211</v>
      </c>
      <c r="F86" s="25" t="s">
        <v>240</v>
      </c>
      <c r="Q86" s="31">
        <v>1</v>
      </c>
      <c r="AX86" s="25" t="s">
        <v>54</v>
      </c>
      <c r="AY86" s="25" t="s">
        <v>133</v>
      </c>
      <c r="AZ86" s="25" t="s">
        <v>56</v>
      </c>
    </row>
    <row r="87" spans="1:52" x14ac:dyDescent="0.3">
      <c r="A87" s="23">
        <v>45859</v>
      </c>
      <c r="B87" s="24">
        <v>0.59375</v>
      </c>
      <c r="C87" s="25" t="s">
        <v>185</v>
      </c>
      <c r="D87" s="26">
        <v>44</v>
      </c>
      <c r="E87" s="27" t="s">
        <v>186</v>
      </c>
      <c r="F87" s="25" t="s">
        <v>242</v>
      </c>
      <c r="G87" s="31">
        <v>1</v>
      </c>
      <c r="AX87" s="25" t="s">
        <v>54</v>
      </c>
      <c r="AY87" s="25" t="s">
        <v>161</v>
      </c>
      <c r="AZ87" s="25" t="s">
        <v>56</v>
      </c>
    </row>
    <row r="88" spans="1:52" x14ac:dyDescent="0.3">
      <c r="A88" s="23">
        <v>45866</v>
      </c>
      <c r="B88" s="24">
        <v>0.64444444444444449</v>
      </c>
      <c r="C88" s="25" t="s">
        <v>121</v>
      </c>
      <c r="D88" s="26">
        <v>41</v>
      </c>
      <c r="E88" s="27" t="s">
        <v>122</v>
      </c>
      <c r="F88" s="25" t="s">
        <v>243</v>
      </c>
      <c r="AI88" s="31">
        <v>1</v>
      </c>
      <c r="AX88" s="25" t="s">
        <v>244</v>
      </c>
      <c r="AY88" s="25" t="s">
        <v>245</v>
      </c>
      <c r="AZ88" s="25" t="s">
        <v>56</v>
      </c>
    </row>
    <row r="89" spans="1:52" x14ac:dyDescent="0.3">
      <c r="A89" s="23">
        <v>45867</v>
      </c>
      <c r="B89" s="24">
        <v>0.35347222222222224</v>
      </c>
      <c r="C89" s="25" t="s">
        <v>246</v>
      </c>
      <c r="D89" s="26">
        <v>27</v>
      </c>
      <c r="E89" s="25" t="s">
        <v>247</v>
      </c>
      <c r="F89" s="25" t="s">
        <v>92</v>
      </c>
      <c r="J89" s="32">
        <v>1</v>
      </c>
      <c r="AX89" s="25" t="s">
        <v>54</v>
      </c>
      <c r="AY89" s="25" t="s">
        <v>93</v>
      </c>
      <c r="AZ89" s="25" t="s">
        <v>56</v>
      </c>
    </row>
    <row r="90" spans="1:52" ht="27.6" x14ac:dyDescent="0.3">
      <c r="A90" s="23">
        <v>45867</v>
      </c>
      <c r="B90" s="24">
        <v>0.7006944444444444</v>
      </c>
      <c r="C90" s="25" t="s">
        <v>248</v>
      </c>
      <c r="D90" s="26">
        <v>58</v>
      </c>
      <c r="E90" s="35" t="s">
        <v>119</v>
      </c>
      <c r="F90" s="25" t="s">
        <v>249</v>
      </c>
      <c r="K90" s="31">
        <v>1</v>
      </c>
      <c r="AX90" s="25" t="s">
        <v>54</v>
      </c>
      <c r="AY90" s="25" t="s">
        <v>250</v>
      </c>
      <c r="AZ90" s="25" t="s">
        <v>56</v>
      </c>
    </row>
    <row r="91" spans="1:52" x14ac:dyDescent="0.3">
      <c r="A91" s="23">
        <v>45868</v>
      </c>
      <c r="B91" s="24">
        <v>0.37569444444444444</v>
      </c>
      <c r="C91" s="25" t="s">
        <v>251</v>
      </c>
      <c r="D91" s="26">
        <v>36</v>
      </c>
      <c r="E91" s="27" t="s">
        <v>252</v>
      </c>
      <c r="F91" s="25" t="s">
        <v>63</v>
      </c>
      <c r="Q91" s="31">
        <v>1</v>
      </c>
      <c r="AX91" s="25" t="s">
        <v>54</v>
      </c>
      <c r="AY91" s="25" t="s">
        <v>133</v>
      </c>
      <c r="AZ91" s="25" t="s">
        <v>56</v>
      </c>
    </row>
    <row r="92" spans="1:52" ht="27.6" x14ac:dyDescent="0.3">
      <c r="A92" s="23">
        <v>45868</v>
      </c>
      <c r="B92" s="24">
        <v>0.47083333333333333</v>
      </c>
      <c r="C92" s="25" t="s">
        <v>253</v>
      </c>
      <c r="D92" s="26">
        <v>35</v>
      </c>
      <c r="E92" s="27" t="s">
        <v>254</v>
      </c>
      <c r="F92" s="25" t="s">
        <v>11</v>
      </c>
      <c r="K92" s="31">
        <v>1</v>
      </c>
      <c r="AX92" s="25" t="s">
        <v>54</v>
      </c>
      <c r="AY92" s="25" t="s">
        <v>255</v>
      </c>
      <c r="AZ92" s="25" t="s">
        <v>56</v>
      </c>
    </row>
    <row r="93" spans="1:52" x14ac:dyDescent="0.3">
      <c r="A93" s="23">
        <v>45868</v>
      </c>
      <c r="B93" s="24">
        <v>0.62083333333333335</v>
      </c>
      <c r="C93" s="25" t="s">
        <v>83</v>
      </c>
      <c r="D93" s="26">
        <v>29</v>
      </c>
      <c r="E93" s="25" t="s">
        <v>84</v>
      </c>
      <c r="F93" s="25" t="s">
        <v>30</v>
      </c>
      <c r="AD93" s="32">
        <v>1</v>
      </c>
      <c r="AX93" s="25" t="s">
        <v>54</v>
      </c>
      <c r="AY93" s="25" t="s">
        <v>256</v>
      </c>
    </row>
    <row r="94" spans="1:52" x14ac:dyDescent="0.3">
      <c r="A94" s="23">
        <v>45868</v>
      </c>
      <c r="B94" s="24">
        <v>0.66666666666666663</v>
      </c>
      <c r="C94" s="25" t="s">
        <v>210</v>
      </c>
      <c r="D94" s="26">
        <v>33</v>
      </c>
      <c r="E94" s="27" t="s">
        <v>211</v>
      </c>
      <c r="F94" s="25" t="s">
        <v>11</v>
      </c>
      <c r="K94" s="31">
        <v>1</v>
      </c>
      <c r="AX94" s="25" t="s">
        <v>54</v>
      </c>
      <c r="AY94" s="25" t="s">
        <v>212</v>
      </c>
      <c r="AZ94" s="25" t="s">
        <v>56</v>
      </c>
    </row>
    <row r="95" spans="1:52" x14ac:dyDescent="0.3">
      <c r="A95" s="23">
        <v>45868</v>
      </c>
      <c r="B95" s="24">
        <v>0.66666666666666663</v>
      </c>
      <c r="C95" s="25" t="s">
        <v>110</v>
      </c>
      <c r="D95" s="26">
        <v>23</v>
      </c>
      <c r="E95" s="27" t="s">
        <v>111</v>
      </c>
      <c r="F95" s="25" t="s">
        <v>30</v>
      </c>
      <c r="AD95" s="32">
        <v>1</v>
      </c>
      <c r="AX95" s="25" t="s">
        <v>54</v>
      </c>
      <c r="AY95" s="25" t="s">
        <v>256</v>
      </c>
      <c r="AZ95" s="25" t="s">
        <v>56</v>
      </c>
    </row>
    <row r="96" spans="1:52" x14ac:dyDescent="0.3">
      <c r="A96" s="23">
        <v>45870</v>
      </c>
      <c r="B96" s="24">
        <v>0.4861111111111111</v>
      </c>
      <c r="C96" s="23" t="s">
        <v>257</v>
      </c>
      <c r="D96" s="37">
        <v>21</v>
      </c>
      <c r="E96" s="29" t="s">
        <v>258</v>
      </c>
      <c r="F96" s="25" t="s">
        <v>203</v>
      </c>
      <c r="U96" s="31">
        <v>1</v>
      </c>
      <c r="AX96" s="25" t="s">
        <v>54</v>
      </c>
      <c r="AY96" s="25" t="s">
        <v>259</v>
      </c>
      <c r="AZ96" s="25" t="s">
        <v>56</v>
      </c>
    </row>
    <row r="97" spans="1:52" ht="69" x14ac:dyDescent="0.3">
      <c r="A97" s="23">
        <v>45875</v>
      </c>
      <c r="B97" s="24">
        <v>0.45</v>
      </c>
      <c r="C97" s="25" t="s">
        <v>260</v>
      </c>
      <c r="D97" s="26">
        <v>22</v>
      </c>
      <c r="E97" s="27" t="s">
        <v>261</v>
      </c>
      <c r="F97" s="25" t="s">
        <v>262</v>
      </c>
      <c r="AI97" s="31">
        <v>1</v>
      </c>
      <c r="AX97" s="25" t="s">
        <v>263</v>
      </c>
      <c r="AY97" s="25" t="s">
        <v>264</v>
      </c>
      <c r="AZ97" s="25" t="s">
        <v>56</v>
      </c>
    </row>
    <row r="98" spans="1:52" x14ac:dyDescent="0.3">
      <c r="A98" s="23">
        <v>45877</v>
      </c>
      <c r="B98" s="24">
        <v>0.46458333333333335</v>
      </c>
      <c r="C98" s="25" t="s">
        <v>131</v>
      </c>
      <c r="D98" s="26">
        <v>46</v>
      </c>
      <c r="E98" s="27" t="s">
        <v>132</v>
      </c>
      <c r="F98" s="25" t="s">
        <v>265</v>
      </c>
      <c r="O98" s="31">
        <v>1</v>
      </c>
      <c r="AX98" s="25" t="s">
        <v>54</v>
      </c>
      <c r="AY98" s="25" t="s">
        <v>114</v>
      </c>
      <c r="AZ98" s="25" t="s">
        <v>56</v>
      </c>
    </row>
    <row r="99" spans="1:52" x14ac:dyDescent="0.3">
      <c r="A99" s="23">
        <v>45877</v>
      </c>
      <c r="B99" s="24">
        <v>0.64652777777777781</v>
      </c>
      <c r="C99" s="30" t="s">
        <v>266</v>
      </c>
      <c r="D99" s="26">
        <v>47</v>
      </c>
      <c r="E99" s="29" t="s">
        <v>267</v>
      </c>
      <c r="F99" s="25" t="s">
        <v>268</v>
      </c>
      <c r="AD99" s="32">
        <v>1</v>
      </c>
      <c r="AT99" s="26" t="s">
        <v>269</v>
      </c>
      <c r="AU99" s="26">
        <v>71</v>
      </c>
      <c r="AW99" s="26">
        <v>99</v>
      </c>
      <c r="AX99" s="25" t="s">
        <v>270</v>
      </c>
      <c r="AY99" s="25" t="s">
        <v>256</v>
      </c>
      <c r="AZ99" s="25" t="s">
        <v>56</v>
      </c>
    </row>
    <row r="100" spans="1:52" x14ac:dyDescent="0.3">
      <c r="A100" s="23">
        <v>45880</v>
      </c>
      <c r="B100" s="24">
        <v>0.6645833333333333</v>
      </c>
      <c r="C100" s="25" t="s">
        <v>271</v>
      </c>
      <c r="D100" s="26">
        <v>51</v>
      </c>
      <c r="E100" s="27" t="s">
        <v>272</v>
      </c>
      <c r="F100" s="25" t="s">
        <v>273</v>
      </c>
      <c r="M100" s="31">
        <v>1</v>
      </c>
      <c r="AX100" s="25" t="s">
        <v>270</v>
      </c>
      <c r="AY100" s="25" t="s">
        <v>274</v>
      </c>
      <c r="AZ100" s="25" t="s">
        <v>56</v>
      </c>
    </row>
    <row r="101" spans="1:52" x14ac:dyDescent="0.3">
      <c r="A101" s="23">
        <v>45882</v>
      </c>
      <c r="B101" s="24">
        <v>0.35347222222222224</v>
      </c>
      <c r="C101" s="25" t="s">
        <v>222</v>
      </c>
      <c r="D101" s="26">
        <v>26</v>
      </c>
      <c r="E101" s="27" t="s">
        <v>223</v>
      </c>
      <c r="F101" s="25" t="s">
        <v>275</v>
      </c>
      <c r="AI101" s="31">
        <v>1</v>
      </c>
      <c r="AX101" s="25" t="s">
        <v>276</v>
      </c>
      <c r="AY101" s="25" t="s">
        <v>149</v>
      </c>
      <c r="AZ101" s="25" t="s">
        <v>56</v>
      </c>
    </row>
    <row r="102" spans="1:52" ht="69" x14ac:dyDescent="0.3">
      <c r="A102" s="23">
        <v>45882</v>
      </c>
      <c r="B102" s="24">
        <v>0.64652777777777781</v>
      </c>
      <c r="C102" s="25" t="s">
        <v>277</v>
      </c>
      <c r="D102" s="26">
        <v>42</v>
      </c>
      <c r="E102" s="27" t="s">
        <v>278</v>
      </c>
      <c r="F102" s="25" t="s">
        <v>279</v>
      </c>
      <c r="AI102" s="31">
        <v>1</v>
      </c>
      <c r="AX102" s="25" t="s">
        <v>280</v>
      </c>
      <c r="AY102" s="25" t="s">
        <v>281</v>
      </c>
      <c r="AZ102" s="25" t="s">
        <v>282</v>
      </c>
    </row>
    <row r="103" spans="1:52" x14ac:dyDescent="0.3">
      <c r="A103" s="23">
        <v>45882</v>
      </c>
      <c r="B103" s="24">
        <v>0.65</v>
      </c>
      <c r="C103" s="25" t="s">
        <v>83</v>
      </c>
      <c r="D103" s="26">
        <v>29</v>
      </c>
      <c r="E103" s="25" t="s">
        <v>84</v>
      </c>
      <c r="F103" s="25" t="s">
        <v>30</v>
      </c>
      <c r="AD103" s="32">
        <v>1</v>
      </c>
      <c r="AX103" s="25" t="s">
        <v>270</v>
      </c>
      <c r="AY103" s="25" t="s">
        <v>283</v>
      </c>
    </row>
    <row r="104" spans="1:52" ht="41.4" x14ac:dyDescent="0.3">
      <c r="A104" s="23">
        <v>45887</v>
      </c>
      <c r="B104" s="24">
        <v>0.41944444444444445</v>
      </c>
      <c r="C104" s="30" t="s">
        <v>284</v>
      </c>
      <c r="D104" s="26">
        <v>22</v>
      </c>
      <c r="E104" s="29" t="s">
        <v>254</v>
      </c>
      <c r="F104" s="25" t="s">
        <v>285</v>
      </c>
      <c r="AQ104" s="34">
        <v>1</v>
      </c>
      <c r="AX104" s="25" t="s">
        <v>71</v>
      </c>
      <c r="AY104" s="25" t="s">
        <v>286</v>
      </c>
      <c r="AZ104" s="25" t="s">
        <v>56</v>
      </c>
    </row>
    <row r="105" spans="1:52" x14ac:dyDescent="0.3">
      <c r="A105" s="23">
        <v>45887</v>
      </c>
      <c r="B105" s="24">
        <v>0.45208333333333334</v>
      </c>
      <c r="C105" s="39" t="s">
        <v>287</v>
      </c>
      <c r="D105" s="26">
        <v>44</v>
      </c>
      <c r="E105" s="25" t="s">
        <v>288</v>
      </c>
      <c r="F105" s="25" t="s">
        <v>63</v>
      </c>
      <c r="R105" s="32">
        <v>1</v>
      </c>
      <c r="AX105" s="25" t="s">
        <v>270</v>
      </c>
      <c r="AY105" s="25" t="s">
        <v>241</v>
      </c>
      <c r="AZ105" s="25" t="s">
        <v>56</v>
      </c>
    </row>
    <row r="106" spans="1:52" x14ac:dyDescent="0.3">
      <c r="A106" s="23">
        <v>45888</v>
      </c>
      <c r="B106" s="24">
        <v>0.46875</v>
      </c>
      <c r="C106" s="25" t="s">
        <v>131</v>
      </c>
      <c r="D106" s="26">
        <v>46</v>
      </c>
      <c r="E106" s="27" t="s">
        <v>132</v>
      </c>
      <c r="F106" s="25" t="s">
        <v>289</v>
      </c>
      <c r="S106" s="31">
        <v>1</v>
      </c>
      <c r="AX106" s="25" t="s">
        <v>270</v>
      </c>
      <c r="AY106" s="25" t="s">
        <v>290</v>
      </c>
      <c r="AZ106" s="25" t="s">
        <v>56</v>
      </c>
    </row>
    <row r="107" spans="1:52" ht="55.2" x14ac:dyDescent="0.3">
      <c r="A107" s="23">
        <v>45888</v>
      </c>
      <c r="B107" s="24">
        <v>0.56180555555555556</v>
      </c>
      <c r="C107" s="30" t="s">
        <v>284</v>
      </c>
      <c r="D107" s="26">
        <v>22</v>
      </c>
      <c r="E107" s="29" t="s">
        <v>254</v>
      </c>
      <c r="F107" s="25" t="s">
        <v>71</v>
      </c>
      <c r="AX107" s="25" t="s">
        <v>270</v>
      </c>
      <c r="AY107" s="25" t="s">
        <v>291</v>
      </c>
      <c r="AZ107" s="25" t="s">
        <v>56</v>
      </c>
    </row>
    <row r="108" spans="1:52" ht="82.8" x14ac:dyDescent="0.3">
      <c r="A108" s="23">
        <v>45889</v>
      </c>
      <c r="B108" s="24">
        <v>0.40486111111111112</v>
      </c>
      <c r="C108" s="25" t="s">
        <v>292</v>
      </c>
      <c r="D108" s="26">
        <v>41</v>
      </c>
      <c r="E108" s="27" t="s">
        <v>293</v>
      </c>
      <c r="F108" s="25" t="s">
        <v>294</v>
      </c>
      <c r="AQ108" s="34">
        <v>1</v>
      </c>
      <c r="AX108" s="25" t="s">
        <v>295</v>
      </c>
      <c r="AY108" s="25" t="s">
        <v>296</v>
      </c>
      <c r="AZ108" s="25" t="s">
        <v>56</v>
      </c>
    </row>
    <row r="109" spans="1:52" x14ac:dyDescent="0.3">
      <c r="A109" s="23">
        <v>45889</v>
      </c>
      <c r="B109" s="24">
        <v>0.37916666666666665</v>
      </c>
      <c r="C109" s="40" t="s">
        <v>297</v>
      </c>
      <c r="D109" s="26">
        <v>45</v>
      </c>
      <c r="E109" s="40" t="s">
        <v>298</v>
      </c>
      <c r="F109" s="25" t="s">
        <v>13</v>
      </c>
      <c r="M109" s="31">
        <v>1</v>
      </c>
      <c r="AX109" s="25" t="s">
        <v>54</v>
      </c>
      <c r="AY109" s="25" t="s">
        <v>120</v>
      </c>
      <c r="AZ109" s="25" t="s">
        <v>56</v>
      </c>
    </row>
    <row r="110" spans="1:52" x14ac:dyDescent="0.3">
      <c r="A110" s="23">
        <v>45889</v>
      </c>
      <c r="B110" s="24">
        <v>0.55000000000000004</v>
      </c>
      <c r="C110" s="25" t="s">
        <v>131</v>
      </c>
      <c r="D110" s="26">
        <v>46</v>
      </c>
      <c r="E110" s="27" t="s">
        <v>132</v>
      </c>
      <c r="F110" s="25" t="s">
        <v>13</v>
      </c>
      <c r="M110" s="31">
        <v>1</v>
      </c>
      <c r="AX110" s="25" t="s">
        <v>54</v>
      </c>
      <c r="AY110" s="25" t="s">
        <v>241</v>
      </c>
      <c r="AZ110" s="25" t="s">
        <v>56</v>
      </c>
    </row>
    <row r="111" spans="1:52" x14ac:dyDescent="0.3">
      <c r="A111" s="23">
        <v>45897</v>
      </c>
      <c r="B111" s="24">
        <v>0.35625000000000001</v>
      </c>
      <c r="C111" s="25" t="s">
        <v>299</v>
      </c>
      <c r="E111" s="27" t="s">
        <v>300</v>
      </c>
      <c r="F111" s="25" t="s">
        <v>30</v>
      </c>
      <c r="AD111" s="32">
        <v>1</v>
      </c>
      <c r="AX111" s="25" t="s">
        <v>54</v>
      </c>
      <c r="AY111" s="25" t="s">
        <v>75</v>
      </c>
      <c r="AZ111" s="25" t="s">
        <v>56</v>
      </c>
    </row>
    <row r="112" spans="1:52" x14ac:dyDescent="0.3">
      <c r="A112" s="23">
        <v>45897</v>
      </c>
      <c r="B112" s="24">
        <v>0.46736111111111112</v>
      </c>
      <c r="C112" s="25" t="s">
        <v>80</v>
      </c>
      <c r="D112" s="26">
        <v>50</v>
      </c>
      <c r="E112" s="27" t="s">
        <v>81</v>
      </c>
      <c r="F112" s="25" t="s">
        <v>15</v>
      </c>
      <c r="O112" s="31">
        <v>1</v>
      </c>
      <c r="AX112" s="25" t="s">
        <v>54</v>
      </c>
      <c r="AY112" s="25" t="s">
        <v>75</v>
      </c>
      <c r="AZ112" s="25" t="s">
        <v>56</v>
      </c>
    </row>
    <row r="113" spans="1:52" ht="27.6" x14ac:dyDescent="0.3">
      <c r="A113" s="23">
        <v>45898</v>
      </c>
      <c r="B113" s="24">
        <v>0.61527777777777781</v>
      </c>
      <c r="C113" s="39" t="s">
        <v>301</v>
      </c>
      <c r="D113" s="26">
        <v>33</v>
      </c>
      <c r="E113" s="25" t="s">
        <v>302</v>
      </c>
      <c r="F113" s="25" t="s">
        <v>11</v>
      </c>
      <c r="K113" s="31">
        <v>1</v>
      </c>
      <c r="AX113" s="25" t="s">
        <v>54</v>
      </c>
      <c r="AY113" s="25" t="s">
        <v>212</v>
      </c>
      <c r="AZ113" s="25" t="s">
        <v>56</v>
      </c>
    </row>
    <row r="114" spans="1:52" x14ac:dyDescent="0.3">
      <c r="A114" s="23">
        <v>45901</v>
      </c>
      <c r="B114" s="24">
        <v>0.56041666666666667</v>
      </c>
      <c r="C114" s="25" t="s">
        <v>52</v>
      </c>
      <c r="D114" s="26">
        <v>27</v>
      </c>
      <c r="E114" s="27" t="s">
        <v>53</v>
      </c>
      <c r="F114" s="25" t="s">
        <v>19</v>
      </c>
      <c r="S114" s="31">
        <v>1</v>
      </c>
      <c r="AT114" s="26" t="s">
        <v>303</v>
      </c>
      <c r="AX114" s="25" t="s">
        <v>54</v>
      </c>
      <c r="AY114" s="25" t="s">
        <v>304</v>
      </c>
      <c r="AZ114" s="25" t="s">
        <v>56</v>
      </c>
    </row>
    <row r="115" spans="1:52" x14ac:dyDescent="0.3">
      <c r="A115" s="23">
        <v>45902</v>
      </c>
      <c r="B115" s="24">
        <v>0.56944444444444442</v>
      </c>
      <c r="C115" s="25" t="s">
        <v>210</v>
      </c>
      <c r="D115" s="26">
        <v>33</v>
      </c>
      <c r="E115" s="27" t="s">
        <v>211</v>
      </c>
      <c r="F115" s="25" t="s">
        <v>15</v>
      </c>
      <c r="O115" s="31">
        <v>1</v>
      </c>
      <c r="AX115" s="25" t="s">
        <v>54</v>
      </c>
      <c r="AY115" s="25" t="s">
        <v>114</v>
      </c>
      <c r="AZ115" s="25" t="s">
        <v>56</v>
      </c>
    </row>
    <row r="116" spans="1:52" x14ac:dyDescent="0.3">
      <c r="A116" s="23">
        <v>45904</v>
      </c>
      <c r="B116" s="24">
        <v>0.56944444444444442</v>
      </c>
      <c r="C116" s="25" t="s">
        <v>210</v>
      </c>
      <c r="D116" s="26">
        <v>33</v>
      </c>
      <c r="E116" s="27" t="s">
        <v>211</v>
      </c>
      <c r="F116" s="25" t="s">
        <v>15</v>
      </c>
      <c r="O116" s="31">
        <v>1</v>
      </c>
      <c r="AX116" s="25" t="s">
        <v>54</v>
      </c>
      <c r="AY116" s="25" t="s">
        <v>114</v>
      </c>
      <c r="AZ116" s="25" t="s">
        <v>56</v>
      </c>
    </row>
    <row r="117" spans="1:52" x14ac:dyDescent="0.3">
      <c r="A117" s="23">
        <v>45905</v>
      </c>
      <c r="B117" s="24">
        <v>0.48472222222222222</v>
      </c>
      <c r="C117" s="25" t="s">
        <v>52</v>
      </c>
      <c r="D117" s="26">
        <v>27</v>
      </c>
      <c r="E117" s="27" t="s">
        <v>53</v>
      </c>
      <c r="F117" s="25" t="s">
        <v>305</v>
      </c>
      <c r="G117" s="31">
        <v>1</v>
      </c>
      <c r="AX117" s="25" t="s">
        <v>54</v>
      </c>
      <c r="AY117" s="25" t="s">
        <v>306</v>
      </c>
      <c r="AZ117" s="25" t="s">
        <v>56</v>
      </c>
    </row>
    <row r="118" spans="1:52" x14ac:dyDescent="0.3">
      <c r="A118" s="23">
        <v>45905</v>
      </c>
      <c r="B118" s="24">
        <v>0.54305555555555551</v>
      </c>
      <c r="C118" s="25" t="s">
        <v>210</v>
      </c>
      <c r="D118" s="26">
        <v>33</v>
      </c>
      <c r="E118" s="27" t="s">
        <v>211</v>
      </c>
      <c r="F118" s="25" t="s">
        <v>15</v>
      </c>
      <c r="O118" s="31">
        <v>1</v>
      </c>
      <c r="AX118" s="25" t="s">
        <v>54</v>
      </c>
      <c r="AY118" s="25" t="s">
        <v>114</v>
      </c>
      <c r="AZ118" s="25" t="s">
        <v>56</v>
      </c>
    </row>
    <row r="119" spans="1:52" x14ac:dyDescent="0.3">
      <c r="A119" s="23">
        <v>45908</v>
      </c>
      <c r="B119" s="24">
        <v>0.67777777777777781</v>
      </c>
      <c r="C119" s="25" t="s">
        <v>210</v>
      </c>
      <c r="D119" s="26">
        <v>33</v>
      </c>
      <c r="E119" s="27" t="s">
        <v>211</v>
      </c>
      <c r="F119" s="25" t="s">
        <v>30</v>
      </c>
      <c r="AD119" s="32">
        <v>1</v>
      </c>
      <c r="AX119" s="25" t="s">
        <v>54</v>
      </c>
      <c r="AY119" s="25" t="s">
        <v>120</v>
      </c>
      <c r="AZ119" s="25" t="s">
        <v>56</v>
      </c>
    </row>
    <row r="120" spans="1:52" x14ac:dyDescent="0.3">
      <c r="A120" s="23">
        <v>45909</v>
      </c>
      <c r="B120" s="24">
        <v>0.37708333333333333</v>
      </c>
      <c r="C120" s="30" t="s">
        <v>307</v>
      </c>
      <c r="D120" s="37">
        <v>23</v>
      </c>
      <c r="E120" s="38" t="s">
        <v>308</v>
      </c>
      <c r="F120" s="25" t="s">
        <v>59</v>
      </c>
      <c r="G120" s="31">
        <v>1</v>
      </c>
      <c r="AX120" s="25" t="s">
        <v>54</v>
      </c>
      <c r="AY120" s="25" t="s">
        <v>60</v>
      </c>
      <c r="AZ120" s="25" t="s">
        <v>56</v>
      </c>
    </row>
  </sheetData>
  <mergeCells count="1">
    <mergeCell ref="A2:A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In-Patient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Syela Nuqui</dc:creator>
  <cp:lastModifiedBy>Lance Cabe</cp:lastModifiedBy>
  <dcterms:created xsi:type="dcterms:W3CDTF">2025-09-10T02:09:07Z</dcterms:created>
  <dcterms:modified xsi:type="dcterms:W3CDTF">2026-01-10T15:03:29Z</dcterms:modified>
</cp:coreProperties>
</file>